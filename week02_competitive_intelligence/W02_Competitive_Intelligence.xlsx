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W2\V2\"/>
    </mc:Choice>
  </mc:AlternateContent>
  <xr:revisionPtr revIDLastSave="0" documentId="13_ncr:1_{C962B24F-0806-4ACC-8B03-D2C9D368AA39}" xr6:coauthVersionLast="47" xr6:coauthVersionMax="47" xr10:uidLastSave="{00000000-0000-0000-0000-000000000000}"/>
  <bookViews>
    <workbookView xWindow="564" yWindow="552" windowWidth="25140" windowHeight="15828" xr2:uid="{00000000-000D-0000-FFFF-FFFF00000000}"/>
  </bookViews>
  <sheets>
    <sheet name="Overview" sheetId="1" r:id="rId1"/>
    <sheet name="Security &amp; Indoor" sheetId="2" r:id="rId2"/>
    <sheet name="Outdoor &amp; Logistics" sheetId="3" r:id="rId3"/>
    <sheet name="Humanoid" sheetId="4" r:id="rId4"/>
    <sheet name="Source Regis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6" i="1"/>
  <c r="B7" i="1"/>
  <c r="B8" i="1" l="1"/>
</calcChain>
</file>

<file path=xl/sharedStrings.xml><?xml version="1.0" encoding="utf-8"?>
<sst xmlns="http://schemas.openxmlformats.org/spreadsheetml/2006/main" count="705" uniqueCount="482">
  <si>
    <t>Value</t>
  </si>
  <si>
    <t>Workbook Evidence</t>
  </si>
  <si>
    <t>Interpretation</t>
  </si>
  <si>
    <t>Total vendors</t>
  </si>
  <si>
    <t>Category tabs, Company column A</t>
  </si>
  <si>
    <t>Meets the 15+ vendor requirement.</t>
  </si>
  <si>
    <t>Vendors with a fixed public price</t>
  </si>
  <si>
    <t>Category tabs, Public Price column F</t>
  </si>
  <si>
    <t>Only direct prices or explicit subscriptions count; quote-only offers do not.</t>
  </si>
  <si>
    <t>Public-price share</t>
  </si>
  <si>
    <t>Overview!B7 / Overview!B6</t>
  </si>
  <si>
    <t>Pricing transparency is the exception, not the market norm.</t>
  </si>
  <si>
    <t>Purpose-built security vendors (of 5)</t>
  </si>
  <si>
    <t>Security &amp; Indoor!M5:M9</t>
  </si>
  <si>
    <t>Knightscope and Cobalt are security-first; three vendors are adjacent service workflows.</t>
  </si>
  <si>
    <t>Focused outdoor workflow/platform vendors (of 5)</t>
  </si>
  <si>
    <t>Outdoor &amp; Logistics!M5:M9</t>
  </si>
  <si>
    <t>Only Spot is coded as a broad inspection + security product; four are point workflows or development platforms.</t>
  </si>
  <si>
    <t>Lowest public humanoid benchmark</t>
  </si>
  <si>
    <t>Humanoid!G8; Source S42</t>
  </si>
  <si>
    <t>Unitree R1-D is the lowest advertised entry benchmark in this set at US$4,290; it is a contact-sales development configuration. R1 AIR is US$4,900 and the standard R1 is US$5,900.</t>
  </si>
  <si>
    <t>Humanoid vendor entry benchmarks below US$6,000</t>
  </si>
  <si>
    <t>Humanoid!G5:G11 (one entry benchmark per vendor)</t>
  </si>
  <si>
    <t>Two vendor-level entry benchmarks are below the threshold: Unitree R1-D and Booster K1. Unitree's R1 AIR and standard R1 are also below US$6,000, but the formula counts vendor rows, not configurations.</t>
  </si>
  <si>
    <t>Quantitative Anchor</t>
  </si>
  <si>
    <t>InGen Platform</t>
  </si>
  <si>
    <t>Falsifiable Test</t>
  </si>
  <si>
    <t>1. TCO and pilot-price transparency</t>
  </si>
  <si>
    <t>3 of 17 vendors disclose a fixed public price</t>
  </si>
  <si>
    <t>Sentinel Prime AI + Aido Rover</t>
  </si>
  <si>
    <t>Across 20 qualified opportunities, a standard 90-day pilot improves demo-to-pilot conversion by ≥15% or shortens median cycle by ≥20%.</t>
  </si>
  <si>
    <t>2. Verified-event security workflow proof</t>
  </si>
  <si>
    <t>2 of 5 security-tab vendors are purpose-built for security</t>
  </si>
  <si>
    <t>Sentinel Prime AI</t>
  </si>
  <si>
    <t>Across 10 sites, the system cuts manual patrol hours by ≥30% with no increase in unresolved priority incidents over 90 days.</t>
  </si>
  <si>
    <t>3. Outdoor multi-mission packaging</t>
  </si>
  <si>
    <t>4 of 5 outdoor vendors are focused workflows/platforms</t>
  </si>
  <si>
    <t>Aido Rover</t>
  </si>
  <si>
    <t>At least 3 of the first 5 pilots activate two workflows and reduce cost per completed mission by ≥20% versus separate tools.</t>
  </si>
  <si>
    <t>4. Humanoid value-over-hardware</t>
  </si>
  <si>
    <t>2 vendor entry benchmarks are below US$6,000; minimum is US$4,290 (R1-D)</t>
  </si>
  <si>
    <t>Aido Humanoid</t>
  </si>
  <si>
    <t>Five pilots accept ≥25% price premium if Aido Humanoid reaches ≥95% task completion and ≥30% faster task deployment.</t>
  </si>
  <si>
    <t>Workbook Snapshot (formula-driven)</t>
    <phoneticPr fontId="3" type="noConversion"/>
  </si>
  <si>
    <t>Public price = Yes</t>
  </si>
  <si>
    <t>Fixed public hardware price or explicit subscription amount</t>
  </si>
  <si>
    <t>A quote-only RaaS/MaaS offer is coded No even when the commercial model is known.</t>
  </si>
  <si>
    <t>Latest milestone</t>
  </si>
  <si>
    <t>Most recent capability, deployment or production milestone located</t>
  </si>
  <si>
    <t>Corporate events are used only where they materially change commercial capacity.</t>
  </si>
  <si>
    <t>Funding / parent</t>
  </si>
  <si>
    <t>Latest public round identified or current corporate parent</t>
  </si>
  <si>
    <t>Not a full capitalization history; reported figures retain source caveats.</t>
  </si>
  <si>
    <t>Chinese research</t>
  </si>
  <si>
    <t>Chinese-language sources are flagged by vendor and Source Register</t>
  </si>
  <si>
    <t>Each entry keeps the English company name, date, URL and an English title/translation.</t>
  </si>
  <si>
    <t>Metric</t>
    <phoneticPr fontId="1" type="noConversion"/>
  </si>
  <si>
    <t>Gap</t>
    <phoneticPr fontId="1" type="noConversion"/>
  </si>
  <si>
    <t>Strategic Gap Map</t>
    <phoneticPr fontId="3" type="noConversion"/>
  </si>
  <si>
    <t>Method and Definitions</t>
    <phoneticPr fontId="3" type="noConversion"/>
  </si>
  <si>
    <t>W02 Competitive Intelligence — Physical AI Market Database</t>
    <phoneticPr fontId="3" type="noConversion"/>
  </si>
  <si>
    <t>Company</t>
  </si>
  <si>
    <t>Product / Platform</t>
  </si>
  <si>
    <t>Platform Category</t>
  </si>
  <si>
    <t>Primary Customer Vertical</t>
  </si>
  <si>
    <t>Pricing Model / Public Tier</t>
  </si>
  <si>
    <t>Public Price Disclosed?</t>
  </si>
  <si>
    <t>Public Price Benchmark (USD)</t>
  </si>
  <si>
    <t>Funding Stage / Corporate Parent</t>
  </si>
  <si>
    <t>Country of Origin</t>
  </si>
  <si>
    <t>Latest Capability Milestone (dated)</t>
  </si>
  <si>
    <t>One-Sentence Differentiator</t>
  </si>
  <si>
    <t>Commercial Evidence</t>
  </si>
  <si>
    <t>Strategic Coding</t>
  </si>
  <si>
    <t>Source IDs</t>
  </si>
  <si>
    <t>Source Language</t>
  </si>
  <si>
    <t>Knightscope, Inc.</t>
  </si>
  <si>
    <t>K5 (5th Generation) Autonomous Security Robot</t>
  </si>
  <si>
    <t>Autonomous security; indoor/outdoor patrol</t>
  </si>
  <si>
    <t>Hospitals, campuses, transportation, corporate sites and public safety</t>
  </si>
  <si>
    <t>Machine-as-a-Service (MaaS); bundled recurring service; price by proposal</t>
  </si>
  <si>
    <t>No</t>
  </si>
  <si>
    <t>Public company — Nasdaq: KSCP</t>
  </si>
  <si>
    <t>United States</t>
  </si>
  <si>
    <t>2024-05-02: first K5 GOV deployment at the Audie L. Murphy VA Medical Center in San Antonio; reiterated in September 2025 investor materials.</t>
  </si>
  <si>
    <t>A security-first fleet combines visible deterrence, autonomous patrol and recurring managed service rather than selling a stand-alone robot.</t>
  </si>
  <si>
    <t>Paid deployments / recurring service</t>
  </si>
  <si>
    <t>Purpose-built security</t>
  </si>
  <si>
    <t>S01; S02; S39; S41</t>
  </si>
  <si>
    <t>English</t>
  </si>
  <si>
    <t>Cobalt AI (formerly Cobalt Robotics)</t>
  </si>
  <si>
    <t>Cobalt Security Robot + Monitoring Intelligence</t>
  </si>
  <si>
    <t>Autonomous indoor security and AI monitoring</t>
  </si>
  <si>
    <t>Technology, finance, healthcare, manufacturing, logistics and multi-site campuses</t>
  </si>
  <si>
    <t>Annual/managed RaaS-style service; setup, maintenance and Command Center support included; quote</t>
  </si>
  <si>
    <t>Private; current funding stage not disclosed in cited company materials</t>
  </si>
  <si>
    <t>2026-07-17 snapshot: Cobalt reports AI Handlers investigate 80%+ of events, resolve up to 94% without human escalation and respond in under 15 seconds on average.</t>
  </si>
  <si>
    <t>Its differentiation is the human-verified AI workflow: the robot collects evidence while the monitoring layer reasons, clears routine events and escalates verified threats.</t>
  </si>
  <si>
    <t>Named enterprise deployments / managed service</t>
  </si>
  <si>
    <t>S03; S04</t>
  </si>
  <si>
    <t>DINERBOT, KLEENBOT, S-series and XMAN-R1</t>
  </si>
  <si>
    <t>Indoor service, delivery, cleaning and humanoid service</t>
  </si>
  <si>
    <t>Restaurants, hotels, healthcare, retail and facility services</t>
  </si>
  <si>
    <t>Enterprise direct sales and distributors; price by quote</t>
  </si>
  <si>
    <t>Private; official funding timeline includes a US$200m Series D and a later RMB500m D-round financing</t>
  </si>
  <si>
    <t>China</t>
  </si>
  <si>
    <t>2025: KEENON used KOM 2.0 for service-industry tasks; the cited page confirms the model but does not establish a separate launch date.</t>
  </si>
  <si>
    <t>A wide installed service-robot portfolio and a service-specific VLA model cover delivery, cleaning and interaction, but not a security-first operating model.</t>
  </si>
  <si>
    <t>Large-scale commercial service-robot shipments</t>
  </si>
  <si>
    <t>Adjacent service workflow</t>
  </si>
  <si>
    <t>S05; S06</t>
  </si>
  <si>
    <t>English + Chinese</t>
  </si>
  <si>
    <t>Bear Robotics</t>
  </si>
  <si>
    <t>Servi, Servi Plus, Servi Q, Carti 100 and Carti Low-Profile</t>
  </si>
  <si>
    <t>Indoor service and material transport</t>
  </si>
  <si>
    <t>Restaurants, senior living, hospitals, hotels, warehouses and factories</t>
  </si>
  <si>
    <t>Enterprise direct sales / reseller channel; price by quote</t>
  </si>
  <si>
    <t>LG Electronics subsidiary; LG obtained a controlling 51% stake in Jan 2025</t>
  </si>
  <si>
    <t>2026-07-17 portfolio snapshot: Bear lists hospitality service robots plus Carti warehouse/factory AMRs and Servi Clean on one platform family.</t>
  </si>
  <si>
    <t>Bear spans front-of-house service and back-of-house material movement, supported by LG's manufacturing and commercial robotics resources.</t>
  </si>
  <si>
    <t>Commercial product portfolio</t>
  </si>
  <si>
    <t>S07; S08</t>
  </si>
  <si>
    <t>Savioke (now Relay Robotics)</t>
  </si>
  <si>
    <t>Relay autonomous delivery robot</t>
  </si>
  <si>
    <t>Indoor secure delivery</t>
  </si>
  <si>
    <t>Hospitals and hotels</t>
  </si>
  <si>
    <t>Custom deployment quote based on site, floors and fleet size</t>
  </si>
  <si>
    <t>Private company; Savioke operates under the Relay Robotics name</t>
  </si>
  <si>
    <t>2026-06-03: BayCare expanded Relay deployment with two robots; the 2025 pilot had 99.8% delivery success at 50 deliveries per day and the new pair is projected at 500+ deliveries per month.</t>
  </si>
  <si>
    <t>Relay is optimized for secure, cross-floor hospital and hotel delivery, including elevators and badge-access doors without facility tracks.</t>
  </si>
  <si>
    <t>1,000,000+ lifetime deliveries reported</t>
  </si>
  <si>
    <t>S09; S10</t>
  </si>
  <si>
    <t>Security &amp; Indoor Patrol Competitive Set</t>
    <phoneticPr fontId="3" type="noConversion"/>
  </si>
  <si>
    <t>Avidbots</t>
  </si>
  <si>
    <t>Neo, Neo 2W and Kas</t>
  </si>
  <si>
    <t>Autonomous commercial floor cleaning</t>
  </si>
  <si>
    <t>Warehouses, retail, airports, manufacturing, education and healthcare</t>
  </si>
  <si>
    <t>Enterprise sale / deployment with demo and quote</t>
  </si>
  <si>
    <t>Private; US$70m Series C announced Sep 2022</t>
  </si>
  <si>
    <t>Canada</t>
  </si>
  <si>
    <t>2024-06-20: first production units of the compact Kas autonomous floor scrubber left Avidbots' Kitchener-Waterloo production line for customers.</t>
  </si>
  <si>
    <t>Purpose-built cleaning hardware, autonomy software and a command center create a measurable cleaning workflow rather than a general patrol platform.</t>
  </si>
  <si>
    <t>Production units shipping to customers</t>
  </si>
  <si>
    <t>Focused workflow / platform</t>
  </si>
  <si>
    <t>S11; S12</t>
  </si>
  <si>
    <t>Boston Dynamics</t>
  </si>
  <si>
    <t>Spot + Orbit + Spot Cam 2</t>
  </si>
  <si>
    <t>Quadruped inspection and security patrol</t>
  </si>
  <si>
    <t>Energy, utilities, manufacturing, construction and public safety</t>
  </si>
  <si>
    <t>Enterprise hardware, payloads, software and services; contact sales</t>
  </si>
  <si>
    <t>Hyundai Motor Group 80%; SoftBank 20% after the 2021 acquisition</t>
  </si>
  <si>
    <t>2026-01: Spot/Orbit 5.1 added a security-patrol mission, AIVI inspection models and Spot Cam 2; an access-door beta had opened 2,500 doors across 18 customers.</t>
  </si>
  <si>
    <t>Spot combines legged mobility with a mature inspection software stack and can extend from equipment inspection into security patrol.</t>
  </si>
  <si>
    <t>Paid industrial deployments</t>
  </si>
  <si>
    <t>Broad inspection + security</t>
  </si>
  <si>
    <t>S13; S14; S15</t>
  </si>
  <si>
    <t>Clearpath Robotics</t>
  </si>
  <si>
    <t>Husky A300 / Husky AMP</t>
  </si>
  <si>
    <t>Rugged outdoor UGV and robotics development platform</t>
  </si>
  <si>
    <t>Research, mining, agriculture, inspection, military and industrial development</t>
  </si>
  <si>
    <t>Configured platform / integration project; contact sales for quote</t>
  </si>
  <si>
    <t>Rockwell Automation subsidiary since Oct 2023</t>
  </si>
  <si>
    <t>2026-04-27: Clearpath showed a research-ready Husky A300 mobile manipulator integrating a Universal Robots UR5e arm and protected controls.</t>
  </si>
  <si>
    <t>An open ROS 2 platform, flexible payload interface and turnkey OutdoorNav option let developers build specialized field robots quickly.</t>
  </si>
  <si>
    <t>Production R&amp;D platform; 500+ brands served</t>
  </si>
  <si>
    <t>S16; S17; S18</t>
  </si>
  <si>
    <t>Locus Robotics</t>
  </si>
  <si>
    <t>Locus Origin / Vector / Array ecosystem</t>
  </si>
  <si>
    <t>Warehouse fulfillment AMRs and robots-to-goods</t>
  </si>
  <si>
    <t>3PL, retail, e-commerce, healthcare and industrial warehouses</t>
  </si>
  <si>
    <t>Robots-as-a-Service (RaaS); scalable fleet subscription; quote</t>
  </si>
  <si>
    <t>Private; US$117m Series F announced Nov 2022 at a near-US$2b valuation</t>
  </si>
  <si>
    <t>2026-06: a customized cold-storage deployment for HelloFresh increased chilled SKU capacity fivefold, from 100 to 500.</t>
  </si>
  <si>
    <t>Locus couples flexible RaaS fleet scaling with warehouse orchestration and human-robot picking workflows.</t>
  </si>
  <si>
    <t>Large named enterprise deployments</t>
  </si>
  <si>
    <t>S19; S20; S21</t>
  </si>
  <si>
    <t>Effidence Robotics</t>
  </si>
  <si>
    <t>EffiBOT, EffiBOT-XS, robotic tuggers and stackers</t>
  </si>
  <si>
    <t>Indoor/outdoor AMR and collaborative logistics</t>
  </si>
  <si>
    <t>Industrial sites, warehouses, construction and last-mile operations</t>
  </si>
  <si>
    <t>Customized project, integration and support; price by quote</t>
  </si>
  <si>
    <t>Robotics subsidiary of LUNDI MATIN Group since 2025</t>
  </si>
  <si>
    <t>France</t>
  </si>
  <si>
    <t>2025-06-17: Limagrain adopted EffiBOT for inter-building conveying; Effidence reports more than 130 units operating across five continents.</t>
  </si>
  <si>
    <t>A modular follow-me and autonomous logistics range uses the same navigation layer indoors and outdoors and is customized to each process.</t>
  </si>
  <si>
    <t>130+ units in operation</t>
  </si>
  <si>
    <t>S22; S23</t>
  </si>
  <si>
    <t>Outdoor Patrol &amp; Logistics Competitive Set</t>
    <phoneticPr fontId="3" type="noConversion"/>
  </si>
  <si>
    <t>Figure AI</t>
  </si>
  <si>
    <t>Figure 03 + Helix</t>
  </si>
  <si>
    <t>General-purpose humanoid</t>
  </si>
  <si>
    <t>Automotive manufacturing, logistics and retail operations</t>
  </si>
  <si>
    <t>Enterprise agreement / deployment; public unit price not disclosed</t>
  </si>
  <si>
    <t>Private; more than US$1b Series C at US$39b post-money in Sep 2025</t>
  </si>
  <si>
    <t>2026-06-30: Figure 03 arrived at BMW; Figure had previously reported Figure 02 contributing to production of 30,000 BMW vehicles.</t>
  </si>
  <si>
    <t>Figure combines a generalist VLA stack with named automotive production evidence and a high-volume manufacturing plan.</t>
  </si>
  <si>
    <t>Named production deployment</t>
  </si>
  <si>
    <t>Enterprise industrial</t>
  </si>
  <si>
    <t>S24</t>
  </si>
  <si>
    <t>1X Technologies</t>
  </si>
  <si>
    <t>NEO</t>
  </si>
  <si>
    <t>Consumer/home humanoid</t>
  </si>
  <si>
    <t>Households; earlier enterprise logistics and guarding programs</t>
  </si>
  <si>
    <t>US$20,000 Early Access purchase; US$499/month subscription planned later</t>
  </si>
  <si>
    <t>Yes</t>
  </si>
  <si>
    <t>Private; US$100m Series B announced Jan 2024</t>
  </si>
  <si>
    <t>Norway (now U.S.-headquartered)</t>
  </si>
  <si>
    <t>2026-07-09: 1X announced a 24-degree-of-freedom tendon-driven NEO hand aimed at near-human dexterity, strength and safe interaction.</t>
  </si>
  <si>
    <t>NEO is the clearest consumer-first humanoid offer in the set, with a published purchase price and a planned monthly subscription.</t>
  </si>
  <si>
    <t>Consumer early access / 2026 delivery plan</t>
  </si>
  <si>
    <t>Consumer direct sale</t>
  </si>
  <si>
    <t>S25; S26; S27</t>
  </si>
  <si>
    <t>Agility Robotics</t>
  </si>
  <si>
    <t>Digit v5</t>
  </si>
  <si>
    <t>Enterprise humanoid for material handling</t>
  </si>
  <si>
    <t>Warehouses, logistics and manufacturing</t>
  </si>
  <si>
    <t>Robots-as-a-Service with enterprise agreements; price by quote</t>
  </si>
  <si>
    <t>Private; proposed business combination with Churchill Capital Corp XI announced in 2026</t>
  </si>
  <si>
    <t>2026-07-16: Agility announced a 60,000-square-foot Physical AI hub and reported active deployments with four named enterprises plus more than US$300m of milestone-dependent multi-year orders.</t>
  </si>
  <si>
    <t>Digit has unusually strong commercial proof: active enterprise deployments, RaaS contracting and disclosed conditional order value.</t>
  </si>
  <si>
    <t>Active enterprise deployments / RaaS</t>
  </si>
  <si>
    <t>S28; S29</t>
  </si>
  <si>
    <t>R1-D, R1 AIR / R1, G1 and H2 humanoids</t>
  </si>
  <si>
    <t>Developer, education and industrial humanoid</t>
  </si>
  <si>
    <t>Research, education, entertainment and industrial development</t>
  </si>
  <si>
    <t>Official prices: R1-D from US$4,290 (contact sales); R1 AIR US$4,900; standard R1 US$5,900; G1 US$13,500; H2 US$29,900 (tax, freight and configuration differences excluded)</t>
  </si>
  <si>
    <t>Private; Series C completion confirmed by a company source in Jun 2025</t>
  </si>
  <si>
    <t>2026-01-22: Unitree said it sold and delivered more than 5,500 humanoid robots in 2025 and mass-produced more than 6,500.</t>
  </si>
  <si>
    <t>Unitree combines the lowest verified entry benchmark in this set with a broad humanoid catalog and company-reported mass-delivery volume; R1-D is a contact-sales development configuration.</t>
  </si>
  <si>
    <t>Direct sales / company-reported mass delivery</t>
  </si>
  <si>
    <t>Developer/research direct sale</t>
  </si>
  <si>
    <t>S30; S31; S32; S40; S42</t>
  </si>
  <si>
    <t>Apptronik</t>
  </si>
  <si>
    <t>Apollo</t>
  </si>
  <si>
    <t>Enterprise humanoid</t>
  </si>
  <si>
    <t>Manufacturing, logistics, retail and 3PL</t>
  </si>
  <si>
    <t>Enterprise partnership / pilot; public unit price not disclosed</t>
  </si>
  <si>
    <t>Private; Series A and extension total more than US$935m as of Feb 2026</t>
  </si>
  <si>
    <t>2026-02-11: Apptronik announced a US$520m Series A-X extension to ramp Apollo production and deployments with partners including Mercedes-Benz, GXO and Jabil.</t>
  </si>
  <si>
    <t>Apollo links a human-centered industrial design to Google DeepMind collaboration and multiple named manufacturing/logistics partners.</t>
  </si>
  <si>
    <t>Commercial partners and pilot deployments</t>
  </si>
  <si>
    <t>S33</t>
  </si>
  <si>
    <t>Galbot G1 and S1</t>
  </si>
  <si>
    <t>Mobile dual-arm / industrial embodied robot</t>
  </si>
  <si>
    <t>Industrial manufacturing, retail and healthcare/pharmacy</t>
  </si>
  <si>
    <t>Enterprise deployment / solution; public unit price not disclosed</t>
  </si>
  <si>
    <t>Private; RMB2.5b new financing reported Mar 2026; round label and current valuation not disclosed</t>
  </si>
  <si>
    <t>2026-03-02: China Fund News reported autonomous S1 work in a CATL battery factory and more than 100 robot-operated stores in 20+ Chinese cities.</t>
  </si>
  <si>
    <t>Galbot focuses on an end-to-end embodied model and mobile dual-arm execution in real retail, healthcare and industrial workflows.</t>
  </si>
  <si>
    <t>Reported industrial and retail deployments</t>
  </si>
  <si>
    <t>Enterprise industrial / retail</t>
  </si>
  <si>
    <t>S34; S35</t>
  </si>
  <si>
    <t>Booster K1, T1 and T2</t>
  </si>
  <si>
    <t>Developer and education humanoid</t>
  </si>
  <si>
    <t>Universities, robotics teams, developers and education programs</t>
  </si>
  <si>
    <t>Direct sale: Booster K1 from US$5,999 (RMB39,900 on Chinese site)</t>
  </si>
  <si>
    <t>Private; A-series financing reported at nearly RMB500m cumulative by Nov 2025</t>
  </si>
  <si>
    <t>2026 snapshot: Booster's official site says 38 of 59 RoboCup 2026 teams used Booster robots; Nov 2025 reporting put cumulative shipments above 700 units.</t>
  </si>
  <si>
    <t>A low entry price, competition-tested locomotion and an open developer ecosystem target research and education before general enterprise labor.</t>
  </si>
  <si>
    <t>Direct sales / developer ecosystem</t>
  </si>
  <si>
    <t>S36; S37; S38</t>
  </si>
  <si>
    <t>Humanoid Competitive Set</t>
    <phoneticPr fontId="3" type="noConversion"/>
  </si>
  <si>
    <t>Source ID</t>
  </si>
  <si>
    <t>Company (English)</t>
  </si>
  <si>
    <t>Publisher / Company</t>
  </si>
  <si>
    <t>Source Title</t>
  </si>
  <si>
    <t>Language</t>
  </si>
  <si>
    <t>Plain-Text URL</t>
  </si>
  <si>
    <t>Supports Database Fields</t>
  </si>
  <si>
    <t>Source Quality / Caveat</t>
  </si>
  <si>
    <t>S01</t>
  </si>
  <si>
    <t>Knightscope</t>
  </si>
  <si>
    <t>The Fifth Generation K5 — An Exercise of Evolutionary Discipline</t>
  </si>
  <si>
    <t>Platform, milestone, differentiator, MaaS</t>
  </si>
  <si>
    <t>Company primary source</t>
  </si>
  <si>
    <t>S02</t>
  </si>
  <si>
    <t>Partnering with Knightscope</t>
  </si>
  <si>
    <t>n.d.</t>
  </si>
  <si>
    <t>Industries, MaaS pricing model, public listing</t>
  </si>
  <si>
    <t>S03</t>
  </si>
  <si>
    <t>Cobalt AI</t>
  </si>
  <si>
    <t>Autonomous Indoor Security Robot, Powered by AI Monitoring</t>
  </si>
  <si>
    <t>Platform, verticals, managed-service scope</t>
  </si>
  <si>
    <t>S04</t>
  </si>
  <si>
    <t>AI Security Automation Platform</t>
  </si>
  <si>
    <t>Performance metrics, integrations, differentiator</t>
  </si>
  <si>
    <t>S05</t>
  </si>
  <si>
    <t>KEENON Robotics</t>
  </si>
  <si>
    <t>News center: KOM 2.0 and service-robot milestones</t>
  </si>
  <si>
    <t>Latest milestone, portfolio and commercial evidence</t>
  </si>
  <si>
    <t>Company primary source; page dated 2025-09-26. The workbook treats this as the article date, not a verified KOM 2.0 launch date.</t>
  </si>
  <si>
    <t>S06</t>
  </si>
  <si>
    <t>Chinese</t>
  </si>
  <si>
    <t>Origin and disclosed funding timeline</t>
  </si>
  <si>
    <t>S07</t>
  </si>
  <si>
    <t>LG Electronics</t>
  </si>
  <si>
    <t>LG Acquires Majority Stake in Bear Robotics to Bolster Robotics Capabilities</t>
  </si>
  <si>
    <t>Corporate parent, origin, platform context</t>
  </si>
  <si>
    <t>Parent-company primary source</t>
  </si>
  <si>
    <t>S08</t>
  </si>
  <si>
    <t>News and current product portfolio</t>
  </si>
  <si>
    <t>Products, industries and current portfolio</t>
  </si>
  <si>
    <t>S09</t>
  </si>
  <si>
    <t>Relay Robotics</t>
  </si>
  <si>
    <t>BayCare Expands Autonomous Hospital Delivery with New Relay Robots</t>
  </si>
  <si>
    <t>Latest deployment, delivery metrics, capabilities</t>
  </si>
  <si>
    <t>S10</t>
  </si>
  <si>
    <t>Relay delivery robots for hospitals and hotels</t>
  </si>
  <si>
    <t>Pricing approach, company identity and verticals</t>
  </si>
  <si>
    <t>S11</t>
  </si>
  <si>
    <t>Kas Rollout Gathers Speed: New Production Units Head to Customers</t>
  </si>
  <si>
    <t>Latest capability milestone, verticals and origin</t>
  </si>
  <si>
    <t>S12</t>
  </si>
  <si>
    <t>Avidbots Raises US$70m in Series C Funding</t>
  </si>
  <si>
    <t>Funding stage</t>
  </si>
  <si>
    <t>S13</t>
  </si>
  <si>
    <t>Spot product page</t>
  </si>
  <si>
    <t>Platform, industries and pricing route</t>
  </si>
  <si>
    <t>S14</t>
  </si>
  <si>
    <t>A New Perspective for Facilities Inspection — Spot and Orbit 5.1</t>
  </si>
  <si>
    <t>Latest capability milestone and security patrol</t>
  </si>
  <si>
    <t>S15</t>
  </si>
  <si>
    <t>Hyundai Motor Group Completes Acquisition of Boston Dynamics</t>
  </si>
  <si>
    <t>Corporate parent</t>
  </si>
  <si>
    <t>S16</t>
  </si>
  <si>
    <t>Clearpath Robotics Announces Husky A300</t>
  </si>
  <si>
    <t>Platform specifications, verticals and origin</t>
  </si>
  <si>
    <t>S17</t>
  </si>
  <si>
    <t>Husky A300 Rugged Mobile Manipulator Integration</t>
  </si>
  <si>
    <t>Latest capability milestone</t>
  </si>
  <si>
    <t>S18</t>
  </si>
  <si>
    <t>Rockwell Automation</t>
  </si>
  <si>
    <t>Rockwell Automation Completes Acquisition of Clearpath Robotics and OTTO Motors</t>
  </si>
  <si>
    <t>S19</t>
  </si>
  <si>
    <t>Technological Innovation Overcomes the Productivity Challenge</t>
  </si>
  <si>
    <t>RaaS pricing model and differentiation</t>
  </si>
  <si>
    <t>S20</t>
  </si>
  <si>
    <t>Locus Robotics / PR Newswire</t>
  </si>
  <si>
    <t>Locus Robotics Announces US$117m Series F Funding</t>
  </si>
  <si>
    <t>Funding stage and valuation</t>
  </si>
  <si>
    <t>Company-issued release</t>
  </si>
  <si>
    <t>S21</t>
  </si>
  <si>
    <t>Latest News and Press Releases — HelloFresh cold-storage deployment</t>
  </si>
  <si>
    <t>Latest capability milestone and deployment result</t>
  </si>
  <si>
    <t>Company news index; item dates shown</t>
  </si>
  <si>
    <t>S22</t>
  </si>
  <si>
    <t>Effidence Robotics Solutions Designer</t>
  </si>
  <si>
    <t>Product range, deployments, milestone and origin</t>
  </si>
  <si>
    <t>Company page with dated news item</t>
  </si>
  <si>
    <t>S23</t>
  </si>
  <si>
    <t>Expansion of the LUNDI MATIN Group</t>
  </si>
  <si>
    <t>Figure News — funding, BMW and Figure 03 updates</t>
  </si>
  <si>
    <t>Funding, latest milestone, deployment and differentiator</t>
  </si>
  <si>
    <t>S25</t>
  </si>
  <si>
    <t>NEO Home Robot — Order Today</t>
  </si>
  <si>
    <t>Product, vertical, public price and availability</t>
  </si>
  <si>
    <t>S26</t>
  </si>
  <si>
    <t>1X Secures US$100m in Series B Funding</t>
  </si>
  <si>
    <t>Funding stage and enterprise background</t>
  </si>
  <si>
    <t>S27</t>
  </si>
  <si>
    <t>Discover — NEO's Hands</t>
  </si>
  <si>
    <t>Company news index; item date shown</t>
  </si>
  <si>
    <t>S28</t>
  </si>
  <si>
    <t>Agility Opens New Fremont Facility to Accelerate Physical AI Development</t>
  </si>
  <si>
    <t>Latest milestone, deployments, orders and proposed listing</t>
  </si>
  <si>
    <t>Company page lists publication on 2026-07-17; press-release dateline is 2026-07-16; order value subject to milestones</t>
  </si>
  <si>
    <t>S29</t>
  </si>
  <si>
    <t>GXO Signs Industry-First Multi-Year Agreement with Agility Robotics</t>
  </si>
  <si>
    <t>RaaS model and commercial deployment</t>
  </si>
  <si>
    <t>S30</t>
  </si>
  <si>
    <t>Unitree Robotics</t>
  </si>
  <si>
    <t>Official Store — Humanoid Robot Catalog</t>
  </si>
  <si>
    <t>G1/H2 direct-store prices, product range and origin</t>
  </si>
  <si>
    <t>S31</t>
  </si>
  <si>
    <t>Clarification Regarding Unitree's 2025 Sales Data</t>
  </si>
  <si>
    <t>Latest commercial milestone</t>
  </si>
  <si>
    <t>Company-reported sales and production figures</t>
  </si>
  <si>
    <t>S32</t>
  </si>
  <si>
    <t>Funding stage and origin</t>
  </si>
  <si>
    <t>Chinese-language media; insider confirmed round, not all reported terms</t>
  </si>
  <si>
    <t>Apptronik Closes Over US$935m Series A</t>
  </si>
  <si>
    <t>Funding, milestone, partners and verticals</t>
  </si>
  <si>
    <t>S34</t>
  </si>
  <si>
    <t>Galbot</t>
  </si>
  <si>
    <t>Galbot G1 product page</t>
  </si>
  <si>
    <t>Chinese + English</t>
  </si>
  <si>
    <t>Product, verticals and differentiator</t>
  </si>
  <si>
    <t>S35</t>
  </si>
  <si>
    <t>Funding, origin and reported deployments</t>
  </si>
  <si>
    <t>Chinese-language financial media; deployment metrics reported from company statements</t>
  </si>
  <si>
    <t>S36</t>
  </si>
  <si>
    <t>Booster Robotics</t>
  </si>
  <si>
    <t>Official website — K1, T1, T2 and RoboCup ecosystem</t>
  </si>
  <si>
    <t>Public price, product, latest milestone and differentiator</t>
  </si>
  <si>
    <t>S37</t>
  </si>
  <si>
    <t>Funding stage, shipments and market focus</t>
  </si>
  <si>
    <t>Chinese-language media citing NetEase reporting and company statements</t>
  </si>
  <si>
    <t>S38</t>
  </si>
  <si>
    <t>Booster Robotics 2025 order and delivery update</t>
  </si>
  <si>
    <t>Commercial evidence</t>
  </si>
  <si>
    <t>Chinese-language media; company-reported order figures</t>
  </si>
  <si>
    <t>S39</t>
  </si>
  <si>
    <t>Knightscope Investor Relations</t>
  </si>
  <si>
    <t>Corporate Presentation — September 2025</t>
  </si>
  <si>
    <t>Latest deployment milestone and company status</t>
  </si>
  <si>
    <t>Company investor material</t>
  </si>
  <si>
    <t>S40</t>
  </si>
  <si>
    <t>Unitree R1 official product and configuration page</t>
  </si>
  <si>
    <t>R1 AIR US$4,900 and standard R1 US$5,900 configuration prices</t>
  </si>
  <si>
    <t>S41</t>
  </si>
  <si>
    <t>Knightscope / Business Wire</t>
  </si>
  <si>
    <t>Knightscope Deploys K5 GOV with U.S. Department of Veterans Affairs</t>
  </si>
  <si>
    <t>First K5 GOV deployment date and location</t>
  </si>
  <si>
    <t>Company-issued press release distributed by Business Wire</t>
  </si>
  <si>
    <t>S42</t>
  </si>
  <si>
    <t>Unitree R1-D official product page</t>
  </si>
  <si>
    <t>R1-D public starting price and configuration scope</t>
  </si>
  <si>
    <t>Company primary source; advertised from US$4,290, requires contacting sales and excludes customs duties</t>
  </si>
  <si>
    <t>Published Date</t>
    <phoneticPr fontId="1" type="noConversion"/>
  </si>
  <si>
    <t>Source Register</t>
    <phoneticPr fontId="3" type="noConversion"/>
  </si>
  <si>
    <t>Current company page</t>
    <phoneticPr fontId="1" type="noConversion"/>
  </si>
  <si>
    <t>Company primary source</t>
    <phoneticPr fontId="1" type="noConversion"/>
  </si>
  <si>
    <t>Company primary source; prices exclude tax and shipping</t>
    <phoneticPr fontId="1" type="noConversion"/>
  </si>
  <si>
    <t>https://knightscope.com/partnership</t>
    <phoneticPr fontId="1" type="noConversion"/>
  </si>
  <si>
    <t>https://knightscope.com/blog/post/the-fifth-generation-k5-an-exercise-of-evolutionary-discipline</t>
    <phoneticPr fontId="1" type="noConversion"/>
  </si>
  <si>
    <t>https://www.cobaltai.com/security-robots/</t>
    <phoneticPr fontId="1" type="noConversion"/>
  </si>
  <si>
    <t>https://www.cobaltai.com/</t>
    <phoneticPr fontId="1" type="noConversion"/>
  </si>
  <si>
    <t>https://ir.keenon.com/en/news</t>
    <phoneticPr fontId="1" type="noConversion"/>
  </si>
  <si>
    <t>https://keenon.com/cn/about</t>
    <phoneticPr fontId="1" type="noConversion"/>
  </si>
  <si>
    <t>https://www.lg.com/global/newsroom/news/corporate/lg-acquires-majority-stake-in-bear-robotics-to-bolster-robotics-capabilities/</t>
    <phoneticPr fontId="1" type="noConversion"/>
  </si>
  <si>
    <t>https://www.bearrobotics.ai/news</t>
    <phoneticPr fontId="1" type="noConversion"/>
  </si>
  <si>
    <t>https://relayrobotics.com/blog/baycare-expands-autonomous-hospital-delivery-with-new-relay-robots-at-winter-haven-hospitals</t>
    <phoneticPr fontId="1" type="noConversion"/>
  </si>
  <si>
    <t>https://relayrobotics.com/</t>
    <phoneticPr fontId="1" type="noConversion"/>
  </si>
  <si>
    <t>https://avidbots.com/news/kas-rollout-gathers-speed-new-production-units-head-to-customers/</t>
    <phoneticPr fontId="1" type="noConversion"/>
  </si>
  <si>
    <t>https://avidbots.com/news/avidbots-raises-70m-in-series-c-funding/</t>
    <phoneticPr fontId="1" type="noConversion"/>
  </si>
  <si>
    <t>https://bostondynamics.com/products/spot/</t>
    <phoneticPr fontId="1" type="noConversion"/>
  </si>
  <si>
    <t>https://bostondynamics.com/blog/a-new-perspective-for-facilities-inspection/</t>
    <phoneticPr fontId="1" type="noConversion"/>
  </si>
  <si>
    <t>https://bostondynamics.com/news/hyundai-motor-group-completes-acquisition-of-boston-dynamics-from-softbank/</t>
    <phoneticPr fontId="1" type="noConversion"/>
  </si>
  <si>
    <t>https://clearpathrobotics.com/blog/2024/10/clearpath-robotics-announces-husky-a300/</t>
    <phoneticPr fontId="1" type="noConversion"/>
  </si>
  <si>
    <t>https://clearpathrobotics.com/blog/2026/04/husky-a300-rugged-mobile-manipulator/</t>
    <phoneticPr fontId="1" type="noConversion"/>
  </si>
  <si>
    <t>https://www.rockwellautomation.com/en-us/company/news/press-releases/Rockwell-Automation-completes-acquisition-of-autonomous-robotics-leader-Clearpath-Robotics-and-its-industrial-offering-OTTO-Motors.html</t>
    <phoneticPr fontId="1" type="noConversion"/>
  </si>
  <si>
    <t>https://locusrobotics.com/blog/technological-innovation-overcomes-productivity-challenge</t>
    <phoneticPr fontId="1" type="noConversion"/>
  </si>
  <si>
    <t>https://www.prnewswire.com/news-releases/locus-robotics-announces-117-million-in-series-f-funding-bringing-its-valuation-close-to-2-billion-301688564.html</t>
    <phoneticPr fontId="1" type="noConversion"/>
  </si>
  <si>
    <t>https://locusrobotics.com/news</t>
    <phoneticPr fontId="1" type="noConversion"/>
  </si>
  <si>
    <t>https://www.effidence.com/en/</t>
    <phoneticPr fontId="1" type="noConversion"/>
  </si>
  <si>
    <t>https://www.effidence.com/en/expansion-of-the-lundi-matin-group/</t>
    <phoneticPr fontId="1" type="noConversion"/>
  </si>
  <si>
    <t>https://www.figure.ai/news</t>
    <phoneticPr fontId="1" type="noConversion"/>
  </si>
  <si>
    <t>https://www.1x.tech/discover/neo-home-robot</t>
    <phoneticPr fontId="1" type="noConversion"/>
  </si>
  <si>
    <t>https://www.1x.tech/discover/1x-secures-100m-in-series-b-funding</t>
    <phoneticPr fontId="1" type="noConversion"/>
  </si>
  <si>
    <t>https://www.1x.tech/discover</t>
    <phoneticPr fontId="1" type="noConversion"/>
  </si>
  <si>
    <t>https://www.agilityrobotics.com/content/agility-opens-new-fremont-facility-to-accelerate-physical-ai-development</t>
    <phoneticPr fontId="1" type="noConversion"/>
  </si>
  <si>
    <t>https://www.agilityrobotics.com/content/gxo-signs-industry-first-multi-year-agreement-with-agility-robotics</t>
    <phoneticPr fontId="1" type="noConversion"/>
  </si>
  <si>
    <t>https://shop.unitree.com/products/unitree-h2</t>
    <phoneticPr fontId="1" type="noConversion"/>
  </si>
  <si>
    <t>https://shop.unitree.com/blogs/news/clarification-regarding-unitrees-2025-sales-data</t>
    <phoneticPr fontId="1" type="noConversion"/>
  </si>
  <si>
    <t>https://www.21jingji.com/article/20250619/herald/7d8d1812f1b49d121b67d929fc5f8622.html</t>
    <phoneticPr fontId="1" type="noConversion"/>
  </si>
  <si>
    <t>https://apptronik.com/news-collection/apptronik-closes-over-935-million-series-a</t>
    <phoneticPr fontId="1" type="noConversion"/>
  </si>
  <si>
    <t>https://www.galbot.com/g1</t>
    <phoneticPr fontId="1" type="noConversion"/>
  </si>
  <si>
    <t>https://www.chnfund.com/article/ARfb5e808c-f1a3-3860-51e1-3a1fbe9b69e2</t>
    <phoneticPr fontId="1" type="noConversion"/>
  </si>
  <si>
    <t>https://www.boosterobotics.com/</t>
    <phoneticPr fontId="1" type="noConversion"/>
  </si>
  <si>
    <t>https://finance.sina.com.cn/stock/t/2025-11-17/doc-infxstse6559990.shtml</t>
    <phoneticPr fontId="1" type="noConversion"/>
  </si>
  <si>
    <t>https://jjckb.xinhuanet.com/20260213/7c0b6db780c74dbba6ca182d638e681f/c.html</t>
    <phoneticPr fontId="1" type="noConversion"/>
  </si>
  <si>
    <t>https://ir.knightscope.com/hubfs/KSCP%20Deck%20-%20Sep%202025.pdf</t>
    <phoneticPr fontId="1" type="noConversion"/>
  </si>
  <si>
    <t>https://www.unitree.com/mobile/R1</t>
    <phoneticPr fontId="1" type="noConversion"/>
  </si>
  <si>
    <t>https://www.businesswire.com/news/home/20240502564007/en/Knightscope-Deploys-K5-GOV-with-U.S.-Department-of-Veterans-Affairs</t>
    <phoneticPr fontId="1" type="noConversion"/>
  </si>
  <si>
    <t>https://shop.unitree.com/products/unitree-r1-d</t>
    <phoneticPr fontId="1" type="noConversion"/>
  </si>
  <si>
    <t>Company-reported operating metrics</t>
    <phoneticPr fontId="1" type="noConversion"/>
  </si>
  <si>
    <t>Chinese-language company primary source</t>
    <phoneticPr fontId="1" type="noConversion"/>
  </si>
  <si>
    <t>Official direct-store prices; reported list, distributor and EDU configuration prices may differ</t>
    <phoneticPr fontId="1" type="noConversion"/>
  </si>
  <si>
    <t>About KEENON</t>
    <phoneticPr fontId="1" type="noConversion"/>
  </si>
  <si>
    <t>KEENON Robotics</t>
    <phoneticPr fontId="1" type="noConversion"/>
  </si>
  <si>
    <t>Has Unitree completed Series C? Company insider confirms it</t>
    <phoneticPr fontId="1" type="noConversion"/>
  </si>
  <si>
    <t>Galbot recently completed RMB2.5b financing</t>
    <phoneticPr fontId="1" type="noConversion"/>
  </si>
  <si>
    <t>Booster Robotics raises over RMB100m; shipments exceed 700</t>
    <phoneticPr fontId="1" type="noConversion"/>
  </si>
  <si>
    <t>Sina Finance</t>
    <phoneticPr fontId="1" type="noConversion"/>
  </si>
  <si>
    <t>Booster Robotics</t>
    <phoneticPr fontId="1" type="noConversion"/>
  </si>
  <si>
    <t>China Fund News</t>
    <phoneticPr fontId="1" type="noConversion"/>
  </si>
  <si>
    <t>Galbot</t>
    <phoneticPr fontId="1" type="noConversion"/>
  </si>
  <si>
    <t>21st Century Business Herald</t>
    <phoneticPr fontId="1" type="noConversion"/>
  </si>
  <si>
    <t>Economic Information Daily</t>
    <phoneticPr fontId="1" type="noConversion"/>
  </si>
  <si>
    <t xml:space="preserve">Galbot </t>
    <phoneticPr fontId="1" type="noConversion"/>
  </si>
  <si>
    <t>Unitree Robotics</t>
    <phoneticPr fontId="1" type="noConversion"/>
  </si>
  <si>
    <t>KEENON Robotics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</si>
</sst>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;\-\$#,##0.00"/>
  </numFmts>
  <fonts count="9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Carlito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 applyNumberFormat="0" applyFill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8" fillId="0" borderId="1" xfId="2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</cellXfs>
  <cellStyles count="3">
    <cellStyle name="Normal" xfId="1" xr:uid="{041DBC57-2DC5-4415-9C45-59F6C14A9BC2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arrobotics.ai/news" TargetMode="External"/><Relationship Id="rId13" Type="http://schemas.openxmlformats.org/officeDocument/2006/relationships/hyperlink" Target="https://bostondynamics.com/products/spot/" TargetMode="External"/><Relationship Id="rId3" Type="http://schemas.openxmlformats.org/officeDocument/2006/relationships/hyperlink" Target="https://www.cobaltai.com/security-robots/" TargetMode="External"/><Relationship Id="rId7" Type="http://schemas.openxmlformats.org/officeDocument/2006/relationships/hyperlink" Target="https://www.lg.com/global/newsroom/news/corporate/lg-acquires-majority-stake-in-bear-robotics-to-bolster-robotics-capabilities/" TargetMode="External"/><Relationship Id="rId12" Type="http://schemas.openxmlformats.org/officeDocument/2006/relationships/hyperlink" Target="https://avidbots.com/news/avidbots-raises-70m-in-series-c-funding/" TargetMode="External"/><Relationship Id="rId2" Type="http://schemas.openxmlformats.org/officeDocument/2006/relationships/hyperlink" Target="https://knightscope.com/blog/post/the-fifth-generation-k5-an-exercise-of-evolutionary-discipline" TargetMode="External"/><Relationship Id="rId1" Type="http://schemas.openxmlformats.org/officeDocument/2006/relationships/hyperlink" Target="https://knightscope.com/partnership" TargetMode="External"/><Relationship Id="rId6" Type="http://schemas.openxmlformats.org/officeDocument/2006/relationships/hyperlink" Target="https://keenon.com/cn/about" TargetMode="External"/><Relationship Id="rId11" Type="http://schemas.openxmlformats.org/officeDocument/2006/relationships/hyperlink" Target="https://avidbots.com/news/kas-rollout-gathers-speed-new-production-units-head-to-customers/" TargetMode="External"/><Relationship Id="rId5" Type="http://schemas.openxmlformats.org/officeDocument/2006/relationships/hyperlink" Target="https://ir.keenon.com/en/news" TargetMode="External"/><Relationship Id="rId10" Type="http://schemas.openxmlformats.org/officeDocument/2006/relationships/hyperlink" Target="https://relayrobotics.com/" TargetMode="External"/><Relationship Id="rId4" Type="http://schemas.openxmlformats.org/officeDocument/2006/relationships/hyperlink" Target="https://www.cobaltai.com/" TargetMode="External"/><Relationship Id="rId9" Type="http://schemas.openxmlformats.org/officeDocument/2006/relationships/hyperlink" Target="https://relayrobotics.com/blog/baycare-expands-autonomous-hospital-delivery-with-new-relay-robots-at-winter-haven-hospi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70" zoomScaleNormal="70" workbookViewId="0">
      <selection activeCell="D41" sqref="D41"/>
    </sheetView>
  </sheetViews>
  <sheetFormatPr defaultColWidth="9" defaultRowHeight="14.4"/>
  <cols>
    <col min="1" max="1" width="53.44140625" bestFit="1" customWidth="1"/>
    <col min="2" max="2" width="51.77734375" customWidth="1"/>
    <col min="3" max="3" width="53.44140625" bestFit="1" customWidth="1"/>
    <col min="4" max="4" width="167.33203125" customWidth="1"/>
  </cols>
  <sheetData>
    <row r="1" spans="1:4" ht="20.399999999999999">
      <c r="A1" s="13" t="s">
        <v>60</v>
      </c>
      <c r="B1" s="13"/>
      <c r="C1" s="13"/>
      <c r="D1" s="13"/>
    </row>
    <row r="4" spans="1:4">
      <c r="A4" s="14" t="s">
        <v>43</v>
      </c>
      <c r="B4" s="14"/>
      <c r="C4" s="14"/>
      <c r="D4" s="14"/>
    </row>
    <row r="5" spans="1:4">
      <c r="A5" s="2" t="s">
        <v>56</v>
      </c>
      <c r="B5" s="2" t="s">
        <v>0</v>
      </c>
      <c r="C5" s="2" t="s">
        <v>1</v>
      </c>
      <c r="D5" s="2" t="s">
        <v>2</v>
      </c>
    </row>
    <row r="6" spans="1:4">
      <c r="A6" s="3" t="s">
        <v>3</v>
      </c>
      <c r="B6" s="9">
        <f>COUNTA('Security &amp; Indoor'!$A$5:$A$9)+COUNTA('Outdoor &amp; Logistics'!$A$5:$A$9)+COUNTA(Humanoid!$A$5:$A$11)</f>
        <v>17</v>
      </c>
      <c r="C6" s="3" t="s">
        <v>4</v>
      </c>
      <c r="D6" s="4" t="s">
        <v>5</v>
      </c>
    </row>
    <row r="7" spans="1:4">
      <c r="A7" s="3" t="s">
        <v>6</v>
      </c>
      <c r="B7" s="3">
        <f>COUNTIF('Security &amp; Indoor'!$F$5:$F$9,"Yes")+COUNTIF('Outdoor &amp; Logistics'!$F$5:$F$9,"Yes")+COUNTIF(Humanoid!$F$5:$F$11,"Yes")</f>
        <v>3</v>
      </c>
      <c r="C7" s="3" t="s">
        <v>7</v>
      </c>
      <c r="D7" s="4" t="s">
        <v>8</v>
      </c>
    </row>
    <row r="8" spans="1:4">
      <c r="A8" s="3" t="s">
        <v>9</v>
      </c>
      <c r="B8" s="10">
        <f>IF(B6=0,0,B7/B6)</f>
        <v>0.17647058823529413</v>
      </c>
      <c r="C8" s="3" t="s">
        <v>10</v>
      </c>
      <c r="D8" s="4" t="s">
        <v>11</v>
      </c>
    </row>
    <row r="9" spans="1:4">
      <c r="A9" s="3" t="s">
        <v>12</v>
      </c>
      <c r="B9" s="9">
        <f>COUNTIF('Security &amp; Indoor'!$M$5:$M$9,"Purpose-built security")</f>
        <v>2</v>
      </c>
      <c r="C9" s="3" t="s">
        <v>13</v>
      </c>
      <c r="D9" s="4" t="s">
        <v>14</v>
      </c>
    </row>
    <row r="10" spans="1:4">
      <c r="A10" s="3" t="s">
        <v>15</v>
      </c>
      <c r="B10" s="3">
        <f>COUNTIF('Outdoor &amp; Logistics'!$M$5:$M$9,"Focused workflow / platform")</f>
        <v>4</v>
      </c>
      <c r="C10" s="3" t="s">
        <v>16</v>
      </c>
      <c r="D10" s="4" t="s">
        <v>17</v>
      </c>
    </row>
    <row r="11" spans="1:4" ht="28.8">
      <c r="A11" s="3" t="s">
        <v>18</v>
      </c>
      <c r="B11" s="11">
        <f>MIN(Humanoid!$G$5:$G$11)</f>
        <v>4290</v>
      </c>
      <c r="C11" s="3" t="s">
        <v>19</v>
      </c>
      <c r="D11" s="4" t="s">
        <v>20</v>
      </c>
    </row>
    <row r="12" spans="1:4" ht="28.8">
      <c r="A12" s="3" t="s">
        <v>21</v>
      </c>
      <c r="B12" s="3">
        <f>COUNTIFS(Humanoid!$G$5:$G$11,"&gt;0",Humanoid!$G$5:$G$11,"&lt;6000")</f>
        <v>2</v>
      </c>
      <c r="C12" s="3" t="s">
        <v>22</v>
      </c>
      <c r="D12" s="4" t="s">
        <v>23</v>
      </c>
    </row>
    <row r="13" spans="1:4">
      <c r="A13" s="1"/>
      <c r="B13" s="1"/>
      <c r="C13" s="1"/>
      <c r="D13" s="1"/>
    </row>
    <row r="14" spans="1:4">
      <c r="A14" s="14" t="s">
        <v>58</v>
      </c>
      <c r="B14" s="14"/>
      <c r="C14" s="14"/>
      <c r="D14" s="14"/>
    </row>
    <row r="15" spans="1:4">
      <c r="A15" s="2" t="s">
        <v>57</v>
      </c>
      <c r="B15" s="2" t="s">
        <v>24</v>
      </c>
      <c r="C15" s="2" t="s">
        <v>25</v>
      </c>
      <c r="D15" s="2" t="s">
        <v>26</v>
      </c>
    </row>
    <row r="16" spans="1:4">
      <c r="A16" s="3" t="s">
        <v>27</v>
      </c>
      <c r="B16" s="3" t="s">
        <v>28</v>
      </c>
      <c r="C16" s="3" t="s">
        <v>29</v>
      </c>
      <c r="D16" s="3" t="s">
        <v>30</v>
      </c>
    </row>
    <row r="17" spans="1:4">
      <c r="A17" s="3" t="s">
        <v>31</v>
      </c>
      <c r="B17" s="3" t="s">
        <v>32</v>
      </c>
      <c r="C17" s="3" t="s">
        <v>33</v>
      </c>
      <c r="D17" s="3" t="s">
        <v>34</v>
      </c>
    </row>
    <row r="18" spans="1:4">
      <c r="A18" s="3" t="s">
        <v>35</v>
      </c>
      <c r="B18" s="3" t="s">
        <v>36</v>
      </c>
      <c r="C18" s="3" t="s">
        <v>37</v>
      </c>
      <c r="D18" s="3" t="s">
        <v>38</v>
      </c>
    </row>
    <row r="19" spans="1:4">
      <c r="A19" s="3" t="s">
        <v>39</v>
      </c>
      <c r="B19" s="3" t="s">
        <v>40</v>
      </c>
      <c r="C19" s="3" t="s">
        <v>41</v>
      </c>
      <c r="D19" s="3" t="s">
        <v>42</v>
      </c>
    </row>
    <row r="20" spans="1:4">
      <c r="A20" s="1"/>
      <c r="B20" s="1"/>
      <c r="C20" s="1"/>
      <c r="D20" s="1"/>
    </row>
    <row r="21" spans="1:4">
      <c r="A21" s="14" t="s">
        <v>59</v>
      </c>
      <c r="B21" s="14"/>
      <c r="C21" s="14"/>
      <c r="D21" s="14"/>
    </row>
    <row r="22" spans="1:4">
      <c r="A22" s="3" t="s">
        <v>44</v>
      </c>
      <c r="B22" s="3" t="s">
        <v>45</v>
      </c>
      <c r="C22" s="3"/>
      <c r="D22" s="3" t="s">
        <v>46</v>
      </c>
    </row>
    <row r="23" spans="1:4">
      <c r="A23" s="3" t="s">
        <v>47</v>
      </c>
      <c r="B23" s="3" t="s">
        <v>48</v>
      </c>
      <c r="C23" s="3"/>
      <c r="D23" s="3" t="s">
        <v>49</v>
      </c>
    </row>
    <row r="24" spans="1:4">
      <c r="A24" s="3" t="s">
        <v>50</v>
      </c>
      <c r="B24" s="3" t="s">
        <v>51</v>
      </c>
      <c r="C24" s="3"/>
      <c r="D24" s="3" t="s">
        <v>52</v>
      </c>
    </row>
    <row r="25" spans="1:4">
      <c r="A25" s="3" t="s">
        <v>53</v>
      </c>
      <c r="B25" s="3" t="s">
        <v>54</v>
      </c>
      <c r="C25" s="3"/>
      <c r="D25" s="3" t="s">
        <v>55</v>
      </c>
    </row>
  </sheetData>
  <mergeCells count="4">
    <mergeCell ref="A1:D1"/>
    <mergeCell ref="A4:D4"/>
    <mergeCell ref="A14:D14"/>
    <mergeCell ref="A21:D2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zoomScale="70" zoomScaleNormal="70" workbookViewId="0">
      <selection activeCell="B15" sqref="B15"/>
    </sheetView>
  </sheetViews>
  <sheetFormatPr defaultColWidth="9" defaultRowHeight="14.4"/>
  <cols>
    <col min="1" max="1" width="33.77734375" customWidth="1"/>
    <col min="2" max="2" width="49.5546875" customWidth="1"/>
    <col min="3" max="3" width="42.21875" customWidth="1"/>
    <col min="4" max="4" width="52.33203125" customWidth="1"/>
    <col min="5" max="5" width="62.109375" customWidth="1"/>
    <col min="6" max="6" width="18.33203125" customWidth="1"/>
    <col min="7" max="7" width="12" customWidth="1"/>
    <col min="8" max="8" width="60.77734375" customWidth="1"/>
    <col min="9" max="9" width="21.44140625" bestFit="1" customWidth="1"/>
    <col min="10" max="10" width="124.88671875" customWidth="1"/>
    <col min="11" max="11" width="81.109375" customWidth="1"/>
    <col min="12" max="12" width="27.88671875" customWidth="1"/>
    <col min="13" max="13" width="15.33203125" customWidth="1"/>
    <col min="14" max="14" width="10" customWidth="1"/>
    <col min="15" max="15" width="13.44140625" customWidth="1"/>
  </cols>
  <sheetData>
    <row r="1" spans="1:15" ht="22.2">
      <c r="A1" s="15" t="s">
        <v>132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57.6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6" t="s">
        <v>66</v>
      </c>
      <c r="G4" s="6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6" t="s">
        <v>73</v>
      </c>
      <c r="N4" s="6" t="s">
        <v>74</v>
      </c>
      <c r="O4" s="6" t="s">
        <v>75</v>
      </c>
    </row>
    <row r="5" spans="1:15" ht="28.8">
      <c r="A5" s="4" t="s">
        <v>76</v>
      </c>
      <c r="B5" s="4" t="s">
        <v>77</v>
      </c>
      <c r="C5" s="4" t="s">
        <v>78</v>
      </c>
      <c r="D5" s="4" t="s">
        <v>79</v>
      </c>
      <c r="E5" s="4" t="s">
        <v>80</v>
      </c>
      <c r="F5" s="4" t="s">
        <v>81</v>
      </c>
      <c r="G5" s="4"/>
      <c r="H5" s="4" t="s">
        <v>82</v>
      </c>
      <c r="I5" s="3" t="s">
        <v>83</v>
      </c>
      <c r="J5" s="4" t="s">
        <v>84</v>
      </c>
      <c r="K5" s="4" t="s">
        <v>85</v>
      </c>
      <c r="L5" s="4" t="s">
        <v>86</v>
      </c>
      <c r="M5" s="4" t="s">
        <v>87</v>
      </c>
      <c r="N5" s="4" t="s">
        <v>88</v>
      </c>
      <c r="O5" s="4" t="s">
        <v>89</v>
      </c>
    </row>
    <row r="6" spans="1:15" ht="43.2">
      <c r="A6" s="4" t="s">
        <v>90</v>
      </c>
      <c r="B6" s="4" t="s">
        <v>91</v>
      </c>
      <c r="C6" s="4" t="s">
        <v>92</v>
      </c>
      <c r="D6" s="4" t="s">
        <v>93</v>
      </c>
      <c r="E6" s="4" t="s">
        <v>94</v>
      </c>
      <c r="F6" s="4" t="s">
        <v>81</v>
      </c>
      <c r="G6" s="4"/>
      <c r="H6" s="4" t="s">
        <v>95</v>
      </c>
      <c r="I6" s="3" t="s">
        <v>83</v>
      </c>
      <c r="J6" s="4" t="s">
        <v>96</v>
      </c>
      <c r="K6" s="4" t="s">
        <v>97</v>
      </c>
      <c r="L6" s="4" t="s">
        <v>98</v>
      </c>
      <c r="M6" s="4" t="s">
        <v>87</v>
      </c>
      <c r="N6" s="4" t="s">
        <v>99</v>
      </c>
      <c r="O6" s="4" t="s">
        <v>89</v>
      </c>
    </row>
    <row r="7" spans="1:15" ht="43.2">
      <c r="A7" s="7" t="s">
        <v>481</v>
      </c>
      <c r="B7" s="4" t="s">
        <v>100</v>
      </c>
      <c r="C7" s="4" t="s">
        <v>101</v>
      </c>
      <c r="D7" s="4" t="s">
        <v>102</v>
      </c>
      <c r="E7" s="4" t="s">
        <v>103</v>
      </c>
      <c r="F7" s="4" t="s">
        <v>81</v>
      </c>
      <c r="G7" s="4"/>
      <c r="H7" s="4" t="s">
        <v>104</v>
      </c>
      <c r="I7" s="3" t="s">
        <v>105</v>
      </c>
      <c r="J7" s="4" t="s">
        <v>106</v>
      </c>
      <c r="K7" s="4" t="s">
        <v>107</v>
      </c>
      <c r="L7" s="4" t="s">
        <v>108</v>
      </c>
      <c r="M7" s="4" t="s">
        <v>109</v>
      </c>
      <c r="N7" s="4" t="s">
        <v>110</v>
      </c>
      <c r="O7" s="4" t="s">
        <v>111</v>
      </c>
    </row>
    <row r="8" spans="1:15" ht="43.2">
      <c r="A8" s="4" t="s">
        <v>112</v>
      </c>
      <c r="B8" s="4" t="s">
        <v>113</v>
      </c>
      <c r="C8" s="4" t="s">
        <v>114</v>
      </c>
      <c r="D8" s="4" t="s">
        <v>115</v>
      </c>
      <c r="E8" s="4" t="s">
        <v>116</v>
      </c>
      <c r="F8" s="4" t="s">
        <v>81</v>
      </c>
      <c r="G8" s="4"/>
      <c r="H8" s="4" t="s">
        <v>117</v>
      </c>
      <c r="I8" s="3" t="s">
        <v>83</v>
      </c>
      <c r="J8" s="4" t="s">
        <v>118</v>
      </c>
      <c r="K8" s="4" t="s">
        <v>119</v>
      </c>
      <c r="L8" s="4" t="s">
        <v>120</v>
      </c>
      <c r="M8" s="4" t="s">
        <v>109</v>
      </c>
      <c r="N8" s="4" t="s">
        <v>121</v>
      </c>
      <c r="O8" s="4" t="s">
        <v>89</v>
      </c>
    </row>
    <row r="9" spans="1:15" ht="43.2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81</v>
      </c>
      <c r="G9" s="4"/>
      <c r="H9" s="4" t="s">
        <v>127</v>
      </c>
      <c r="I9" s="3" t="s">
        <v>83</v>
      </c>
      <c r="J9" s="4" t="s">
        <v>128</v>
      </c>
      <c r="K9" s="4" t="s">
        <v>129</v>
      </c>
      <c r="L9" s="4" t="s">
        <v>130</v>
      </c>
      <c r="M9" s="4" t="s">
        <v>109</v>
      </c>
      <c r="N9" s="4" t="s">
        <v>131</v>
      </c>
      <c r="O9" s="4" t="s">
        <v>89</v>
      </c>
    </row>
  </sheetData>
  <mergeCells count="1">
    <mergeCell ref="A1:O1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topLeftCell="A6" zoomScale="70" zoomScaleNormal="70" workbookViewId="0">
      <selection activeCell="E5" sqref="E5"/>
    </sheetView>
  </sheetViews>
  <sheetFormatPr defaultColWidth="9" defaultRowHeight="14.4"/>
  <cols>
    <col min="1" max="1" width="10" bestFit="1" customWidth="1"/>
    <col min="2" max="2" width="24.33203125" bestFit="1" customWidth="1"/>
    <col min="3" max="3" width="23" bestFit="1" customWidth="1"/>
    <col min="4" max="4" width="22.21875" customWidth="1"/>
    <col min="5" max="5" width="22.5546875" customWidth="1"/>
    <col min="6" max="6" width="19.77734375" customWidth="1"/>
    <col min="7" max="7" width="15.5546875" customWidth="1"/>
    <col min="8" max="8" width="23.88671875" customWidth="1"/>
    <col min="9" max="9" width="10.6640625" customWidth="1"/>
    <col min="10" max="10" width="14" customWidth="1"/>
    <col min="11" max="11" width="18.5546875" customWidth="1"/>
    <col min="12" max="12" width="15.21875" customWidth="1"/>
    <col min="13" max="13" width="14.33203125" customWidth="1"/>
    <col min="14" max="14" width="13.109375" customWidth="1"/>
    <col min="15" max="15" width="12" customWidth="1"/>
  </cols>
  <sheetData>
    <row r="1" spans="1:15" ht="22.2">
      <c r="A1" s="15" t="s">
        <v>187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2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22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57.6">
      <c r="A4" s="6" t="s">
        <v>61</v>
      </c>
      <c r="B4" s="6" t="s">
        <v>62</v>
      </c>
      <c r="C4" s="6" t="s">
        <v>63</v>
      </c>
      <c r="D4" s="6" t="s">
        <v>64</v>
      </c>
      <c r="E4" s="6" t="s">
        <v>65</v>
      </c>
      <c r="F4" s="6" t="s">
        <v>66</v>
      </c>
      <c r="G4" s="6" t="s">
        <v>67</v>
      </c>
      <c r="H4" s="6" t="s">
        <v>68</v>
      </c>
      <c r="I4" s="6" t="s">
        <v>69</v>
      </c>
      <c r="J4" s="6" t="s">
        <v>70</v>
      </c>
      <c r="K4" s="6" t="s">
        <v>71</v>
      </c>
      <c r="L4" s="6" t="s">
        <v>72</v>
      </c>
      <c r="M4" s="6" t="s">
        <v>73</v>
      </c>
      <c r="N4" s="6" t="s">
        <v>74</v>
      </c>
      <c r="O4" s="6" t="s">
        <v>75</v>
      </c>
    </row>
    <row r="5" spans="1:15" ht="201.6">
      <c r="A5" s="4" t="s">
        <v>133</v>
      </c>
      <c r="B5" s="4" t="s">
        <v>134</v>
      </c>
      <c r="C5" s="4" t="s">
        <v>135</v>
      </c>
      <c r="D5" s="4" t="s">
        <v>136</v>
      </c>
      <c r="E5" s="4" t="s">
        <v>137</v>
      </c>
      <c r="F5" s="4" t="s">
        <v>81</v>
      </c>
      <c r="G5" s="4"/>
      <c r="H5" s="4" t="s">
        <v>138</v>
      </c>
      <c r="I5" s="4" t="s">
        <v>139</v>
      </c>
      <c r="J5" s="4" t="s">
        <v>140</v>
      </c>
      <c r="K5" s="4" t="s">
        <v>141</v>
      </c>
      <c r="L5" s="4" t="s">
        <v>142</v>
      </c>
      <c r="M5" s="4" t="s">
        <v>143</v>
      </c>
      <c r="N5" s="4" t="s">
        <v>144</v>
      </c>
      <c r="O5" s="4" t="s">
        <v>89</v>
      </c>
    </row>
    <row r="6" spans="1:15" ht="201.6">
      <c r="A6" s="4" t="s">
        <v>145</v>
      </c>
      <c r="B6" s="4" t="s">
        <v>146</v>
      </c>
      <c r="C6" s="4" t="s">
        <v>147</v>
      </c>
      <c r="D6" s="4" t="s">
        <v>148</v>
      </c>
      <c r="E6" s="4" t="s">
        <v>149</v>
      </c>
      <c r="F6" s="4" t="s">
        <v>81</v>
      </c>
      <c r="G6" s="4"/>
      <c r="H6" s="4" t="s">
        <v>150</v>
      </c>
      <c r="I6" s="4" t="s">
        <v>83</v>
      </c>
      <c r="J6" s="4" t="s">
        <v>151</v>
      </c>
      <c r="K6" s="4" t="s">
        <v>152</v>
      </c>
      <c r="L6" s="4" t="s">
        <v>153</v>
      </c>
      <c r="M6" s="4" t="s">
        <v>154</v>
      </c>
      <c r="N6" s="4" t="s">
        <v>155</v>
      </c>
      <c r="O6" s="4" t="s">
        <v>89</v>
      </c>
    </row>
    <row r="7" spans="1:15" ht="187.2">
      <c r="A7" s="4" t="s">
        <v>156</v>
      </c>
      <c r="B7" s="4" t="s">
        <v>157</v>
      </c>
      <c r="C7" s="4" t="s">
        <v>158</v>
      </c>
      <c r="D7" s="4" t="s">
        <v>159</v>
      </c>
      <c r="E7" s="4" t="s">
        <v>160</v>
      </c>
      <c r="F7" s="4" t="s">
        <v>81</v>
      </c>
      <c r="G7" s="4"/>
      <c r="H7" s="4" t="s">
        <v>161</v>
      </c>
      <c r="I7" s="4" t="s">
        <v>139</v>
      </c>
      <c r="J7" s="4" t="s">
        <v>162</v>
      </c>
      <c r="K7" s="4" t="s">
        <v>163</v>
      </c>
      <c r="L7" s="4" t="s">
        <v>164</v>
      </c>
      <c r="M7" s="4" t="s">
        <v>143</v>
      </c>
      <c r="N7" s="4" t="s">
        <v>165</v>
      </c>
      <c r="O7" s="4" t="s">
        <v>89</v>
      </c>
    </row>
    <row r="8" spans="1:15" ht="172.8">
      <c r="A8" s="4" t="s">
        <v>166</v>
      </c>
      <c r="B8" s="4" t="s">
        <v>167</v>
      </c>
      <c r="C8" s="4" t="s">
        <v>168</v>
      </c>
      <c r="D8" s="4" t="s">
        <v>169</v>
      </c>
      <c r="E8" s="4" t="s">
        <v>170</v>
      </c>
      <c r="F8" s="4" t="s">
        <v>81</v>
      </c>
      <c r="G8" s="4"/>
      <c r="H8" s="4" t="s">
        <v>171</v>
      </c>
      <c r="I8" s="4" t="s">
        <v>83</v>
      </c>
      <c r="J8" s="4" t="s">
        <v>172</v>
      </c>
      <c r="K8" s="4" t="s">
        <v>173</v>
      </c>
      <c r="L8" s="4" t="s">
        <v>174</v>
      </c>
      <c r="M8" s="4" t="s">
        <v>143</v>
      </c>
      <c r="N8" s="4" t="s">
        <v>175</v>
      </c>
      <c r="O8" s="4" t="s">
        <v>89</v>
      </c>
    </row>
    <row r="9" spans="1:15" ht="201.6">
      <c r="A9" s="4" t="s">
        <v>176</v>
      </c>
      <c r="B9" s="4" t="s">
        <v>177</v>
      </c>
      <c r="C9" s="4" t="s">
        <v>178</v>
      </c>
      <c r="D9" s="4" t="s">
        <v>179</v>
      </c>
      <c r="E9" s="4" t="s">
        <v>180</v>
      </c>
      <c r="F9" s="4" t="s">
        <v>81</v>
      </c>
      <c r="G9" s="4"/>
      <c r="H9" s="4" t="s">
        <v>181</v>
      </c>
      <c r="I9" s="4" t="s">
        <v>182</v>
      </c>
      <c r="J9" s="4" t="s">
        <v>183</v>
      </c>
      <c r="K9" s="4" t="s">
        <v>184</v>
      </c>
      <c r="L9" s="4" t="s">
        <v>185</v>
      </c>
      <c r="M9" s="4" t="s">
        <v>143</v>
      </c>
      <c r="N9" s="4" t="s">
        <v>186</v>
      </c>
      <c r="O9" s="4" t="s">
        <v>89</v>
      </c>
    </row>
  </sheetData>
  <mergeCells count="3">
    <mergeCell ref="A1:O1"/>
    <mergeCell ref="A2:O2"/>
    <mergeCell ref="A3:O3"/>
  </mergeCells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5340-2ACF-454F-95E2-BDE34F1F6D16}">
  <dimension ref="A1:O11"/>
  <sheetViews>
    <sheetView topLeftCell="A8" zoomScale="70" zoomScaleNormal="70" workbookViewId="0">
      <selection activeCell="C8" sqref="C8"/>
    </sheetView>
  </sheetViews>
  <sheetFormatPr defaultRowHeight="14.4"/>
  <cols>
    <col min="1" max="1" width="8.5546875" bestFit="1" customWidth="1"/>
    <col min="2" max="2" width="14.44140625" customWidth="1"/>
    <col min="3" max="3" width="15.44140625" customWidth="1"/>
    <col min="4" max="4" width="14.6640625" customWidth="1"/>
    <col min="5" max="5" width="16.44140625" customWidth="1"/>
    <col min="6" max="6" width="14" customWidth="1"/>
    <col min="7" max="7" width="13.5546875" customWidth="1"/>
    <col min="8" max="8" width="22.109375" customWidth="1"/>
    <col min="9" max="9" width="12.77734375" customWidth="1"/>
    <col min="10" max="10" width="15.5546875" customWidth="1"/>
    <col min="11" max="11" width="18.77734375" customWidth="1"/>
    <col min="12" max="12" width="12.44140625" customWidth="1"/>
    <col min="13" max="13" width="13.6640625" customWidth="1"/>
    <col min="14" max="14" width="8.21875" bestFit="1" customWidth="1"/>
    <col min="15" max="15" width="14.44140625" customWidth="1"/>
  </cols>
  <sheetData>
    <row r="1" spans="1:15" ht="22.2">
      <c r="A1" s="15" t="s">
        <v>261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4" spans="1:15" ht="57.6">
      <c r="A4" s="6" t="s">
        <v>61</v>
      </c>
      <c r="B4" s="6" t="s">
        <v>62</v>
      </c>
      <c r="C4" s="6" t="s">
        <v>63</v>
      </c>
      <c r="D4" s="6" t="s">
        <v>64</v>
      </c>
      <c r="E4" s="6" t="s">
        <v>65</v>
      </c>
      <c r="F4" s="6" t="s">
        <v>66</v>
      </c>
      <c r="G4" s="6" t="s">
        <v>67</v>
      </c>
      <c r="H4" s="6" t="s">
        <v>68</v>
      </c>
      <c r="I4" s="6" t="s">
        <v>69</v>
      </c>
      <c r="J4" s="6" t="s">
        <v>70</v>
      </c>
      <c r="K4" s="6" t="s">
        <v>71</v>
      </c>
      <c r="L4" s="6" t="s">
        <v>72</v>
      </c>
      <c r="M4" s="6" t="s">
        <v>73</v>
      </c>
      <c r="N4" s="6" t="s">
        <v>74</v>
      </c>
      <c r="O4" s="6" t="s">
        <v>75</v>
      </c>
    </row>
    <row r="5" spans="1:15" ht="158.4">
      <c r="A5" s="4" t="s">
        <v>188</v>
      </c>
      <c r="B5" s="4" t="s">
        <v>189</v>
      </c>
      <c r="C5" s="4" t="s">
        <v>190</v>
      </c>
      <c r="D5" s="4" t="s">
        <v>191</v>
      </c>
      <c r="E5" s="4" t="s">
        <v>192</v>
      </c>
      <c r="F5" s="4" t="s">
        <v>81</v>
      </c>
      <c r="G5" s="4"/>
      <c r="H5" s="4" t="s">
        <v>193</v>
      </c>
      <c r="I5" s="4" t="s">
        <v>83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89</v>
      </c>
    </row>
    <row r="6" spans="1:15" ht="158.4">
      <c r="A6" s="4" t="s">
        <v>199</v>
      </c>
      <c r="B6" s="4" t="s">
        <v>200</v>
      </c>
      <c r="C6" s="4" t="s">
        <v>201</v>
      </c>
      <c r="D6" s="4" t="s">
        <v>202</v>
      </c>
      <c r="E6" s="4" t="s">
        <v>203</v>
      </c>
      <c r="F6" s="4" t="s">
        <v>204</v>
      </c>
      <c r="G6" s="4">
        <v>20000</v>
      </c>
      <c r="H6" s="4" t="s">
        <v>205</v>
      </c>
      <c r="I6" s="4" t="s">
        <v>206</v>
      </c>
      <c r="J6" s="4" t="s">
        <v>207</v>
      </c>
      <c r="K6" s="4" t="s">
        <v>208</v>
      </c>
      <c r="L6" s="4" t="s">
        <v>209</v>
      </c>
      <c r="M6" s="4" t="s">
        <v>210</v>
      </c>
      <c r="N6" s="4" t="s">
        <v>211</v>
      </c>
      <c r="O6" s="4" t="s">
        <v>89</v>
      </c>
    </row>
    <row r="7" spans="1:15" ht="259.2">
      <c r="A7" s="4" t="s">
        <v>212</v>
      </c>
      <c r="B7" s="4" t="s">
        <v>213</v>
      </c>
      <c r="C7" s="4" t="s">
        <v>214</v>
      </c>
      <c r="D7" s="4" t="s">
        <v>215</v>
      </c>
      <c r="E7" s="4" t="s">
        <v>216</v>
      </c>
      <c r="F7" s="4" t="s">
        <v>81</v>
      </c>
      <c r="G7" s="4"/>
      <c r="H7" s="4" t="s">
        <v>217</v>
      </c>
      <c r="I7" s="4" t="s">
        <v>83</v>
      </c>
      <c r="J7" s="4" t="s">
        <v>218</v>
      </c>
      <c r="K7" s="4" t="s">
        <v>219</v>
      </c>
      <c r="L7" s="4" t="s">
        <v>220</v>
      </c>
      <c r="M7" s="4" t="s">
        <v>197</v>
      </c>
      <c r="N7" s="4" t="s">
        <v>221</v>
      </c>
      <c r="O7" s="4" t="s">
        <v>89</v>
      </c>
    </row>
    <row r="8" spans="1:15" ht="201.6">
      <c r="A8" s="7" t="s">
        <v>480</v>
      </c>
      <c r="B8" s="4" t="s">
        <v>222</v>
      </c>
      <c r="C8" s="4" t="s">
        <v>223</v>
      </c>
      <c r="D8" s="4" t="s">
        <v>224</v>
      </c>
      <c r="E8" s="4" t="s">
        <v>225</v>
      </c>
      <c r="F8" s="4" t="s">
        <v>204</v>
      </c>
      <c r="G8" s="4">
        <v>4290</v>
      </c>
      <c r="H8" s="4" t="s">
        <v>226</v>
      </c>
      <c r="I8" s="4" t="s">
        <v>105</v>
      </c>
      <c r="J8" s="4" t="s">
        <v>227</v>
      </c>
      <c r="K8" s="4" t="s">
        <v>228</v>
      </c>
      <c r="L8" s="4" t="s">
        <v>229</v>
      </c>
      <c r="M8" s="4" t="s">
        <v>230</v>
      </c>
      <c r="N8" s="4" t="s">
        <v>231</v>
      </c>
      <c r="O8" s="4" t="s">
        <v>111</v>
      </c>
    </row>
    <row r="9" spans="1:15" ht="172.8">
      <c r="A9" s="4" t="s">
        <v>232</v>
      </c>
      <c r="B9" s="4" t="s">
        <v>233</v>
      </c>
      <c r="C9" s="4" t="s">
        <v>234</v>
      </c>
      <c r="D9" s="4" t="s">
        <v>235</v>
      </c>
      <c r="E9" s="4" t="s">
        <v>236</v>
      </c>
      <c r="F9" s="4" t="s">
        <v>81</v>
      </c>
      <c r="G9" s="4"/>
      <c r="H9" s="4" t="s">
        <v>237</v>
      </c>
      <c r="I9" s="4" t="s">
        <v>83</v>
      </c>
      <c r="J9" s="4" t="s">
        <v>238</v>
      </c>
      <c r="K9" s="4" t="s">
        <v>239</v>
      </c>
      <c r="L9" s="4" t="s">
        <v>240</v>
      </c>
      <c r="M9" s="4" t="s">
        <v>197</v>
      </c>
      <c r="N9" s="4" t="s">
        <v>241</v>
      </c>
      <c r="O9" s="4" t="s">
        <v>89</v>
      </c>
    </row>
    <row r="10" spans="1:15" ht="172.8">
      <c r="A10" s="7" t="s">
        <v>479</v>
      </c>
      <c r="B10" s="4" t="s">
        <v>242</v>
      </c>
      <c r="C10" s="4" t="s">
        <v>243</v>
      </c>
      <c r="D10" s="4" t="s">
        <v>244</v>
      </c>
      <c r="E10" s="4" t="s">
        <v>245</v>
      </c>
      <c r="F10" s="4" t="s">
        <v>81</v>
      </c>
      <c r="G10" s="4"/>
      <c r="H10" s="4" t="s">
        <v>246</v>
      </c>
      <c r="I10" s="4" t="s">
        <v>105</v>
      </c>
      <c r="J10" s="4" t="s">
        <v>247</v>
      </c>
      <c r="K10" s="4" t="s">
        <v>248</v>
      </c>
      <c r="L10" s="4" t="s">
        <v>249</v>
      </c>
      <c r="M10" s="4" t="s">
        <v>250</v>
      </c>
      <c r="N10" s="4" t="s">
        <v>251</v>
      </c>
      <c r="O10" s="4" t="s">
        <v>111</v>
      </c>
    </row>
    <row r="11" spans="1:15" ht="187.2">
      <c r="A11" s="7" t="s">
        <v>474</v>
      </c>
      <c r="B11" s="4" t="s">
        <v>252</v>
      </c>
      <c r="C11" s="4" t="s">
        <v>253</v>
      </c>
      <c r="D11" s="4" t="s">
        <v>254</v>
      </c>
      <c r="E11" s="4" t="s">
        <v>255</v>
      </c>
      <c r="F11" s="4" t="s">
        <v>204</v>
      </c>
      <c r="G11" s="4">
        <v>5999</v>
      </c>
      <c r="H11" s="4" t="s">
        <v>256</v>
      </c>
      <c r="I11" s="4" t="s">
        <v>105</v>
      </c>
      <c r="J11" s="4" t="s">
        <v>257</v>
      </c>
      <c r="K11" s="4" t="s">
        <v>258</v>
      </c>
      <c r="L11" s="4" t="s">
        <v>259</v>
      </c>
      <c r="M11" s="4" t="s">
        <v>230</v>
      </c>
      <c r="N11" s="4" t="s">
        <v>260</v>
      </c>
      <c r="O11" s="4" t="s">
        <v>111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9A48-64E7-44A5-8937-0733C57B532F}">
  <dimension ref="A1:I46"/>
  <sheetViews>
    <sheetView workbookViewId="0">
      <selection activeCell="D46" sqref="D46"/>
    </sheetView>
  </sheetViews>
  <sheetFormatPr defaultRowHeight="14.4"/>
  <cols>
    <col min="2" max="2" width="13.88671875" bestFit="1" customWidth="1"/>
    <col min="3" max="3" width="32.44140625" customWidth="1"/>
    <col min="4" max="4" width="46.21875" customWidth="1"/>
    <col min="5" max="5" width="8.5546875" bestFit="1" customWidth="1"/>
    <col min="6" max="6" width="12.33203125" customWidth="1"/>
    <col min="7" max="7" width="32.88671875" customWidth="1"/>
    <col min="8" max="8" width="21.21875" customWidth="1"/>
    <col min="9" max="9" width="21.44140625" customWidth="1"/>
  </cols>
  <sheetData>
    <row r="1" spans="1:9" ht="22.2">
      <c r="A1" s="15" t="s">
        <v>419</v>
      </c>
      <c r="B1" s="15"/>
      <c r="C1" s="15"/>
      <c r="D1" s="15"/>
      <c r="E1" s="15"/>
      <c r="F1" s="15"/>
      <c r="G1" s="15"/>
      <c r="H1" s="15"/>
      <c r="I1" s="15"/>
    </row>
    <row r="4" spans="1:9" ht="43.2">
      <c r="A4" s="6" t="s">
        <v>262</v>
      </c>
      <c r="B4" s="6" t="s">
        <v>263</v>
      </c>
      <c r="C4" s="6" t="s">
        <v>264</v>
      </c>
      <c r="D4" s="6" t="s">
        <v>265</v>
      </c>
      <c r="E4" s="6" t="s">
        <v>266</v>
      </c>
      <c r="F4" s="6" t="s">
        <v>418</v>
      </c>
      <c r="G4" s="6" t="s">
        <v>267</v>
      </c>
      <c r="H4" s="6" t="s">
        <v>268</v>
      </c>
      <c r="I4" s="6" t="s">
        <v>269</v>
      </c>
    </row>
    <row r="5" spans="1:9" ht="57.6">
      <c r="A5" s="4" t="s">
        <v>270</v>
      </c>
      <c r="B5" s="4" t="s">
        <v>271</v>
      </c>
      <c r="C5" s="4" t="s">
        <v>271</v>
      </c>
      <c r="D5" s="4" t="s">
        <v>272</v>
      </c>
      <c r="E5" s="4" t="s">
        <v>89</v>
      </c>
      <c r="F5" s="16">
        <v>45464</v>
      </c>
      <c r="G5" s="12" t="s">
        <v>424</v>
      </c>
      <c r="H5" s="4" t="s">
        <v>273</v>
      </c>
      <c r="I5" s="4" t="s">
        <v>274</v>
      </c>
    </row>
    <row r="6" spans="1:9" ht="43.2">
      <c r="A6" s="4" t="s">
        <v>275</v>
      </c>
      <c r="B6" s="4" t="s">
        <v>271</v>
      </c>
      <c r="C6" s="4" t="s">
        <v>271</v>
      </c>
      <c r="D6" s="4" t="s">
        <v>276</v>
      </c>
      <c r="E6" s="4" t="s">
        <v>89</v>
      </c>
      <c r="F6" s="16" t="s">
        <v>277</v>
      </c>
      <c r="G6" s="12" t="s">
        <v>423</v>
      </c>
      <c r="H6" s="4" t="s">
        <v>278</v>
      </c>
      <c r="I6" s="7" t="s">
        <v>420</v>
      </c>
    </row>
    <row r="7" spans="1:9" ht="43.2">
      <c r="A7" s="4" t="s">
        <v>279</v>
      </c>
      <c r="B7" s="4" t="s">
        <v>280</v>
      </c>
      <c r="C7" s="4" t="s">
        <v>280</v>
      </c>
      <c r="D7" s="4" t="s">
        <v>281</v>
      </c>
      <c r="E7" s="4" t="s">
        <v>89</v>
      </c>
      <c r="F7" s="16" t="s">
        <v>277</v>
      </c>
      <c r="G7" s="12" t="s">
        <v>425</v>
      </c>
      <c r="H7" s="4" t="s">
        <v>282</v>
      </c>
      <c r="I7" s="7" t="s">
        <v>420</v>
      </c>
    </row>
    <row r="8" spans="1:9" ht="43.2">
      <c r="A8" s="4" t="s">
        <v>283</v>
      </c>
      <c r="B8" s="4" t="s">
        <v>280</v>
      </c>
      <c r="C8" s="4" t="s">
        <v>280</v>
      </c>
      <c r="D8" s="4" t="s">
        <v>284</v>
      </c>
      <c r="E8" s="4" t="s">
        <v>89</v>
      </c>
      <c r="F8" s="16" t="s">
        <v>277</v>
      </c>
      <c r="G8" s="12" t="s">
        <v>426</v>
      </c>
      <c r="H8" s="4" t="s">
        <v>285</v>
      </c>
      <c r="I8" s="7" t="s">
        <v>465</v>
      </c>
    </row>
    <row r="9" spans="1:9" ht="100.8">
      <c r="A9" s="4" t="s">
        <v>286</v>
      </c>
      <c r="B9" s="4" t="s">
        <v>287</v>
      </c>
      <c r="C9" s="4" t="s">
        <v>287</v>
      </c>
      <c r="D9" s="4" t="s">
        <v>288</v>
      </c>
      <c r="E9" s="4" t="s">
        <v>89</v>
      </c>
      <c r="F9" s="16">
        <v>45926</v>
      </c>
      <c r="G9" s="12" t="s">
        <v>427</v>
      </c>
      <c r="H9" s="4" t="s">
        <v>289</v>
      </c>
      <c r="I9" s="4" t="s">
        <v>290</v>
      </c>
    </row>
    <row r="10" spans="1:9" ht="43.2">
      <c r="A10" s="4" t="s">
        <v>291</v>
      </c>
      <c r="B10" s="4" t="s">
        <v>287</v>
      </c>
      <c r="C10" s="7" t="s">
        <v>469</v>
      </c>
      <c r="D10" s="7" t="s">
        <v>468</v>
      </c>
      <c r="E10" s="4" t="s">
        <v>292</v>
      </c>
      <c r="F10" s="16" t="s">
        <v>277</v>
      </c>
      <c r="G10" s="12" t="s">
        <v>428</v>
      </c>
      <c r="H10" s="4" t="s">
        <v>293</v>
      </c>
      <c r="I10" s="7" t="s">
        <v>466</v>
      </c>
    </row>
    <row r="11" spans="1:9" ht="72">
      <c r="A11" s="4" t="s">
        <v>294</v>
      </c>
      <c r="B11" s="4" t="s">
        <v>112</v>
      </c>
      <c r="C11" s="4" t="s">
        <v>295</v>
      </c>
      <c r="D11" s="4" t="s">
        <v>296</v>
      </c>
      <c r="E11" s="4" t="s">
        <v>89</v>
      </c>
      <c r="F11" s="16">
        <v>45681</v>
      </c>
      <c r="G11" s="12" t="s">
        <v>429</v>
      </c>
      <c r="H11" s="4" t="s">
        <v>297</v>
      </c>
      <c r="I11" s="4" t="s">
        <v>298</v>
      </c>
    </row>
    <row r="12" spans="1:9" ht="43.2">
      <c r="A12" s="4" t="s">
        <v>299</v>
      </c>
      <c r="B12" s="4" t="s">
        <v>112</v>
      </c>
      <c r="C12" s="4" t="s">
        <v>112</v>
      </c>
      <c r="D12" s="4" t="s">
        <v>300</v>
      </c>
      <c r="E12" s="4" t="s">
        <v>89</v>
      </c>
      <c r="F12" s="16" t="s">
        <v>277</v>
      </c>
      <c r="G12" s="12" t="s">
        <v>430</v>
      </c>
      <c r="H12" s="4" t="s">
        <v>301</v>
      </c>
      <c r="I12" s="7" t="s">
        <v>420</v>
      </c>
    </row>
    <row r="13" spans="1:9" ht="72">
      <c r="A13" s="4" t="s">
        <v>302</v>
      </c>
      <c r="B13" s="4" t="s">
        <v>303</v>
      </c>
      <c r="C13" s="4" t="s">
        <v>303</v>
      </c>
      <c r="D13" s="4" t="s">
        <v>304</v>
      </c>
      <c r="E13" s="4" t="s">
        <v>89</v>
      </c>
      <c r="F13" s="16">
        <v>46176</v>
      </c>
      <c r="G13" s="12" t="s">
        <v>431</v>
      </c>
      <c r="H13" s="4" t="s">
        <v>305</v>
      </c>
      <c r="I13" s="4" t="s">
        <v>274</v>
      </c>
    </row>
    <row r="14" spans="1:9" ht="43.2">
      <c r="A14" s="4" t="s">
        <v>306</v>
      </c>
      <c r="B14" s="4" t="s">
        <v>303</v>
      </c>
      <c r="C14" s="4" t="s">
        <v>303</v>
      </c>
      <c r="D14" s="4" t="s">
        <v>307</v>
      </c>
      <c r="E14" s="4" t="s">
        <v>89</v>
      </c>
      <c r="F14" s="16" t="s">
        <v>277</v>
      </c>
      <c r="G14" s="12" t="s">
        <v>432</v>
      </c>
      <c r="H14" s="4" t="s">
        <v>308</v>
      </c>
      <c r="I14" s="7" t="s">
        <v>420</v>
      </c>
    </row>
    <row r="15" spans="1:9" ht="57.6">
      <c r="A15" s="4" t="s">
        <v>309</v>
      </c>
      <c r="B15" s="4" t="s">
        <v>133</v>
      </c>
      <c r="C15" s="4" t="s">
        <v>133</v>
      </c>
      <c r="D15" s="4" t="s">
        <v>310</v>
      </c>
      <c r="E15" s="4" t="s">
        <v>89</v>
      </c>
      <c r="F15" s="16">
        <v>45463</v>
      </c>
      <c r="G15" s="12" t="s">
        <v>433</v>
      </c>
      <c r="H15" s="4" t="s">
        <v>311</v>
      </c>
      <c r="I15" s="4" t="s">
        <v>274</v>
      </c>
    </row>
    <row r="16" spans="1:9" ht="43.2">
      <c r="A16" s="4" t="s">
        <v>312</v>
      </c>
      <c r="B16" s="4" t="s">
        <v>133</v>
      </c>
      <c r="C16" s="4" t="s">
        <v>133</v>
      </c>
      <c r="D16" s="4" t="s">
        <v>313</v>
      </c>
      <c r="E16" s="4" t="s">
        <v>89</v>
      </c>
      <c r="F16" s="16">
        <v>44831</v>
      </c>
      <c r="G16" s="12" t="s">
        <v>434</v>
      </c>
      <c r="H16" s="4" t="s">
        <v>314</v>
      </c>
      <c r="I16" s="4" t="s">
        <v>274</v>
      </c>
    </row>
    <row r="17" spans="1:9" ht="28.8">
      <c r="A17" s="4" t="s">
        <v>315</v>
      </c>
      <c r="B17" s="4" t="s">
        <v>145</v>
      </c>
      <c r="C17" s="4" t="s">
        <v>145</v>
      </c>
      <c r="D17" s="4" t="s">
        <v>316</v>
      </c>
      <c r="E17" s="4" t="s">
        <v>89</v>
      </c>
      <c r="F17" s="16" t="s">
        <v>277</v>
      </c>
      <c r="G17" s="12" t="s">
        <v>435</v>
      </c>
      <c r="H17" s="4" t="s">
        <v>317</v>
      </c>
      <c r="I17" s="7" t="s">
        <v>420</v>
      </c>
    </row>
    <row r="18" spans="1:9" ht="43.2">
      <c r="A18" s="4" t="s">
        <v>318</v>
      </c>
      <c r="B18" s="4" t="s">
        <v>145</v>
      </c>
      <c r="C18" s="4" t="s">
        <v>145</v>
      </c>
      <c r="D18" s="4" t="s">
        <v>319</v>
      </c>
      <c r="E18" s="4" t="s">
        <v>89</v>
      </c>
      <c r="F18" s="16">
        <v>46038</v>
      </c>
      <c r="G18" s="12" t="s">
        <v>436</v>
      </c>
      <c r="H18" s="4" t="s">
        <v>320</v>
      </c>
      <c r="I18" s="4" t="s">
        <v>274</v>
      </c>
    </row>
    <row r="19" spans="1:9" ht="57.6">
      <c r="A19" s="4" t="s">
        <v>321</v>
      </c>
      <c r="B19" s="4" t="s">
        <v>145</v>
      </c>
      <c r="C19" s="4" t="s">
        <v>145</v>
      </c>
      <c r="D19" s="4" t="s">
        <v>322</v>
      </c>
      <c r="E19" s="4" t="s">
        <v>89</v>
      </c>
      <c r="F19" s="16">
        <v>44368</v>
      </c>
      <c r="G19" s="12" t="s">
        <v>437</v>
      </c>
      <c r="H19" s="4" t="s">
        <v>323</v>
      </c>
      <c r="I19" s="4" t="s">
        <v>274</v>
      </c>
    </row>
    <row r="20" spans="1:9" ht="43.2">
      <c r="A20" s="4" t="s">
        <v>324</v>
      </c>
      <c r="B20" s="4" t="s">
        <v>156</v>
      </c>
      <c r="C20" s="4" t="s">
        <v>156</v>
      </c>
      <c r="D20" s="4" t="s">
        <v>325</v>
      </c>
      <c r="E20" s="4" t="s">
        <v>89</v>
      </c>
      <c r="F20" s="16">
        <v>45580</v>
      </c>
      <c r="G20" s="12" t="s">
        <v>438</v>
      </c>
      <c r="H20" s="4" t="s">
        <v>326</v>
      </c>
      <c r="I20" s="4" t="s">
        <v>274</v>
      </c>
    </row>
    <row r="21" spans="1:9" ht="43.2">
      <c r="A21" s="4" t="s">
        <v>327</v>
      </c>
      <c r="B21" s="4" t="s">
        <v>156</v>
      </c>
      <c r="C21" s="4" t="s">
        <v>156</v>
      </c>
      <c r="D21" s="4" t="s">
        <v>328</v>
      </c>
      <c r="E21" s="4" t="s">
        <v>89</v>
      </c>
      <c r="F21" s="16">
        <v>46139</v>
      </c>
      <c r="G21" s="12" t="s">
        <v>439</v>
      </c>
      <c r="H21" s="4" t="s">
        <v>329</v>
      </c>
      <c r="I21" s="4" t="s">
        <v>274</v>
      </c>
    </row>
    <row r="22" spans="1:9" ht="115.2">
      <c r="A22" s="4" t="s">
        <v>330</v>
      </c>
      <c r="B22" s="4" t="s">
        <v>156</v>
      </c>
      <c r="C22" s="4" t="s">
        <v>331</v>
      </c>
      <c r="D22" s="4" t="s">
        <v>332</v>
      </c>
      <c r="E22" s="4" t="s">
        <v>89</v>
      </c>
      <c r="F22" s="16">
        <v>45201</v>
      </c>
      <c r="G22" s="12" t="s">
        <v>440</v>
      </c>
      <c r="H22" s="4" t="s">
        <v>323</v>
      </c>
      <c r="I22" s="4" t="s">
        <v>298</v>
      </c>
    </row>
    <row r="23" spans="1:9" ht="43.2">
      <c r="A23" s="4" t="s">
        <v>333</v>
      </c>
      <c r="B23" s="4" t="s">
        <v>166</v>
      </c>
      <c r="C23" s="4" t="s">
        <v>166</v>
      </c>
      <c r="D23" s="4" t="s">
        <v>334</v>
      </c>
      <c r="E23" s="4" t="s">
        <v>89</v>
      </c>
      <c r="F23" s="16">
        <v>44303</v>
      </c>
      <c r="G23" s="12" t="s">
        <v>441</v>
      </c>
      <c r="H23" s="4" t="s">
        <v>335</v>
      </c>
      <c r="I23" s="4" t="s">
        <v>274</v>
      </c>
    </row>
    <row r="24" spans="1:9" ht="86.4">
      <c r="A24" s="4" t="s">
        <v>336</v>
      </c>
      <c r="B24" s="4" t="s">
        <v>166</v>
      </c>
      <c r="C24" s="4" t="s">
        <v>337</v>
      </c>
      <c r="D24" s="4" t="s">
        <v>338</v>
      </c>
      <c r="E24" s="4" t="s">
        <v>89</v>
      </c>
      <c r="F24" s="16">
        <v>44894</v>
      </c>
      <c r="G24" s="12" t="s">
        <v>442</v>
      </c>
      <c r="H24" s="4" t="s">
        <v>339</v>
      </c>
      <c r="I24" s="4" t="s">
        <v>340</v>
      </c>
    </row>
    <row r="25" spans="1:9" ht="43.2">
      <c r="A25" s="4" t="s">
        <v>341</v>
      </c>
      <c r="B25" s="4" t="s">
        <v>166</v>
      </c>
      <c r="C25" s="4" t="s">
        <v>166</v>
      </c>
      <c r="D25" s="4" t="s">
        <v>342</v>
      </c>
      <c r="E25" s="4" t="s">
        <v>89</v>
      </c>
      <c r="F25" s="16">
        <v>46198</v>
      </c>
      <c r="G25" s="12" t="s">
        <v>443</v>
      </c>
      <c r="H25" s="4" t="s">
        <v>343</v>
      </c>
      <c r="I25" s="4" t="s">
        <v>344</v>
      </c>
    </row>
    <row r="26" spans="1:9" ht="43.2">
      <c r="A26" s="4" t="s">
        <v>345</v>
      </c>
      <c r="B26" s="4" t="s">
        <v>176</v>
      </c>
      <c r="C26" s="4" t="s">
        <v>176</v>
      </c>
      <c r="D26" s="4" t="s">
        <v>346</v>
      </c>
      <c r="E26" s="4" t="s">
        <v>89</v>
      </c>
      <c r="F26" s="16">
        <v>45825</v>
      </c>
      <c r="G26" s="12" t="s">
        <v>444</v>
      </c>
      <c r="H26" s="4" t="s">
        <v>347</v>
      </c>
      <c r="I26" s="4" t="s">
        <v>348</v>
      </c>
    </row>
    <row r="27" spans="1:9" ht="28.8">
      <c r="A27" s="4" t="s">
        <v>349</v>
      </c>
      <c r="B27" s="4" t="s">
        <v>176</v>
      </c>
      <c r="C27" s="4" t="s">
        <v>176</v>
      </c>
      <c r="D27" s="4" t="s">
        <v>350</v>
      </c>
      <c r="E27" s="4" t="s">
        <v>89</v>
      </c>
      <c r="F27" s="16">
        <v>45720</v>
      </c>
      <c r="G27" s="12" t="s">
        <v>445</v>
      </c>
      <c r="H27" s="4" t="s">
        <v>323</v>
      </c>
      <c r="I27" s="4" t="s">
        <v>274</v>
      </c>
    </row>
    <row r="28" spans="1:9" ht="57.6">
      <c r="A28" s="4" t="s">
        <v>198</v>
      </c>
      <c r="B28" s="4" t="s">
        <v>188</v>
      </c>
      <c r="C28" s="4" t="s">
        <v>188</v>
      </c>
      <c r="D28" s="4" t="s">
        <v>351</v>
      </c>
      <c r="E28" s="4" t="s">
        <v>89</v>
      </c>
      <c r="F28" s="16">
        <v>46203</v>
      </c>
      <c r="G28" s="12" t="s">
        <v>446</v>
      </c>
      <c r="H28" s="4" t="s">
        <v>352</v>
      </c>
      <c r="I28" s="4" t="s">
        <v>344</v>
      </c>
    </row>
    <row r="29" spans="1:9" ht="43.2">
      <c r="A29" s="4" t="s">
        <v>353</v>
      </c>
      <c r="B29" s="4" t="s">
        <v>199</v>
      </c>
      <c r="C29" s="4" t="s">
        <v>199</v>
      </c>
      <c r="D29" s="4" t="s">
        <v>354</v>
      </c>
      <c r="E29" s="4" t="s">
        <v>89</v>
      </c>
      <c r="F29" s="16">
        <v>45958</v>
      </c>
      <c r="G29" s="12" t="s">
        <v>447</v>
      </c>
      <c r="H29" s="4" t="s">
        <v>355</v>
      </c>
      <c r="I29" s="4" t="s">
        <v>274</v>
      </c>
    </row>
    <row r="30" spans="1:9" ht="43.2">
      <c r="A30" s="4" t="s">
        <v>356</v>
      </c>
      <c r="B30" s="4" t="s">
        <v>199</v>
      </c>
      <c r="C30" s="4" t="s">
        <v>199</v>
      </c>
      <c r="D30" s="4" t="s">
        <v>357</v>
      </c>
      <c r="E30" s="4" t="s">
        <v>89</v>
      </c>
      <c r="F30" s="16">
        <v>45304</v>
      </c>
      <c r="G30" s="12" t="s">
        <v>448</v>
      </c>
      <c r="H30" s="4" t="s">
        <v>358</v>
      </c>
      <c r="I30" s="4" t="s">
        <v>274</v>
      </c>
    </row>
    <row r="31" spans="1:9" ht="28.8">
      <c r="A31" s="4" t="s">
        <v>359</v>
      </c>
      <c r="B31" s="4" t="s">
        <v>199</v>
      </c>
      <c r="C31" s="4" t="s">
        <v>199</v>
      </c>
      <c r="D31" s="4" t="s">
        <v>360</v>
      </c>
      <c r="E31" s="4" t="s">
        <v>89</v>
      </c>
      <c r="F31" s="16">
        <v>46212</v>
      </c>
      <c r="G31" s="12" t="s">
        <v>449</v>
      </c>
      <c r="H31" s="4" t="s">
        <v>329</v>
      </c>
      <c r="I31" s="4" t="s">
        <v>361</v>
      </c>
    </row>
    <row r="32" spans="1:9" ht="100.8">
      <c r="A32" s="4" t="s">
        <v>362</v>
      </c>
      <c r="B32" s="4" t="s">
        <v>212</v>
      </c>
      <c r="C32" s="4" t="s">
        <v>212</v>
      </c>
      <c r="D32" s="4" t="s">
        <v>363</v>
      </c>
      <c r="E32" s="4" t="s">
        <v>89</v>
      </c>
      <c r="F32" s="16">
        <v>46220</v>
      </c>
      <c r="G32" s="12" t="s">
        <v>450</v>
      </c>
      <c r="H32" s="4" t="s">
        <v>364</v>
      </c>
      <c r="I32" s="4" t="s">
        <v>365</v>
      </c>
    </row>
    <row r="33" spans="1:9" ht="57.6">
      <c r="A33" s="4" t="s">
        <v>366</v>
      </c>
      <c r="B33" s="4" t="s">
        <v>212</v>
      </c>
      <c r="C33" s="4" t="s">
        <v>212</v>
      </c>
      <c r="D33" s="4" t="s">
        <v>367</v>
      </c>
      <c r="E33" s="4" t="s">
        <v>89</v>
      </c>
      <c r="F33" s="16">
        <v>45470</v>
      </c>
      <c r="G33" s="12" t="s">
        <v>451</v>
      </c>
      <c r="H33" s="4" t="s">
        <v>368</v>
      </c>
      <c r="I33" s="4" t="s">
        <v>274</v>
      </c>
    </row>
    <row r="34" spans="1:9" ht="86.4">
      <c r="A34" s="4" t="s">
        <v>369</v>
      </c>
      <c r="B34" s="4" t="s">
        <v>370</v>
      </c>
      <c r="C34" s="4" t="s">
        <v>370</v>
      </c>
      <c r="D34" s="4" t="s">
        <v>371</v>
      </c>
      <c r="E34" s="4" t="s">
        <v>89</v>
      </c>
      <c r="F34" s="16" t="s">
        <v>277</v>
      </c>
      <c r="G34" s="12" t="s">
        <v>452</v>
      </c>
      <c r="H34" s="4" t="s">
        <v>372</v>
      </c>
      <c r="I34" s="7" t="s">
        <v>467</v>
      </c>
    </row>
    <row r="35" spans="1:9" ht="43.2">
      <c r="A35" s="4" t="s">
        <v>373</v>
      </c>
      <c r="B35" s="4" t="s">
        <v>370</v>
      </c>
      <c r="C35" s="4" t="s">
        <v>370</v>
      </c>
      <c r="D35" s="4" t="s">
        <v>374</v>
      </c>
      <c r="E35" s="4" t="s">
        <v>89</v>
      </c>
      <c r="F35" s="16">
        <v>46044</v>
      </c>
      <c r="G35" s="12" t="s">
        <v>453</v>
      </c>
      <c r="H35" s="4" t="s">
        <v>375</v>
      </c>
      <c r="I35" s="4" t="s">
        <v>376</v>
      </c>
    </row>
    <row r="36" spans="1:9" ht="57.6">
      <c r="A36" s="4" t="s">
        <v>377</v>
      </c>
      <c r="B36" s="4" t="s">
        <v>370</v>
      </c>
      <c r="C36" s="7" t="s">
        <v>477</v>
      </c>
      <c r="D36" s="7" t="s">
        <v>470</v>
      </c>
      <c r="E36" s="4" t="s">
        <v>292</v>
      </c>
      <c r="F36" s="16">
        <v>45827</v>
      </c>
      <c r="G36" s="12" t="s">
        <v>454</v>
      </c>
      <c r="H36" s="4" t="s">
        <v>378</v>
      </c>
      <c r="I36" s="4" t="s">
        <v>379</v>
      </c>
    </row>
    <row r="37" spans="1:9" ht="43.2">
      <c r="A37" s="4" t="s">
        <v>241</v>
      </c>
      <c r="B37" s="4" t="s">
        <v>232</v>
      </c>
      <c r="C37" s="4" t="s">
        <v>232</v>
      </c>
      <c r="D37" s="4" t="s">
        <v>380</v>
      </c>
      <c r="E37" s="4" t="s">
        <v>89</v>
      </c>
      <c r="F37" s="16">
        <v>46064</v>
      </c>
      <c r="G37" s="12" t="s">
        <v>455</v>
      </c>
      <c r="H37" s="4" t="s">
        <v>381</v>
      </c>
      <c r="I37" s="4" t="s">
        <v>274</v>
      </c>
    </row>
    <row r="38" spans="1:9" ht="43.2">
      <c r="A38" s="4" t="s">
        <v>382</v>
      </c>
      <c r="B38" s="4" t="s">
        <v>383</v>
      </c>
      <c r="C38" s="7" t="s">
        <v>476</v>
      </c>
      <c r="D38" s="4" t="s">
        <v>384</v>
      </c>
      <c r="E38" s="4" t="s">
        <v>385</v>
      </c>
      <c r="F38" s="16" t="s">
        <v>277</v>
      </c>
      <c r="G38" s="12" t="s">
        <v>456</v>
      </c>
      <c r="H38" s="4" t="s">
        <v>386</v>
      </c>
      <c r="I38" s="7" t="s">
        <v>421</v>
      </c>
    </row>
    <row r="39" spans="1:9" ht="72">
      <c r="A39" s="4" t="s">
        <v>387</v>
      </c>
      <c r="B39" s="4" t="s">
        <v>383</v>
      </c>
      <c r="C39" s="7" t="s">
        <v>475</v>
      </c>
      <c r="D39" s="7" t="s">
        <v>471</v>
      </c>
      <c r="E39" s="4" t="s">
        <v>292</v>
      </c>
      <c r="F39" s="16">
        <v>46083</v>
      </c>
      <c r="G39" s="12" t="s">
        <v>457</v>
      </c>
      <c r="H39" s="4" t="s">
        <v>388</v>
      </c>
      <c r="I39" s="4" t="s">
        <v>389</v>
      </c>
    </row>
    <row r="40" spans="1:9" ht="57.6">
      <c r="A40" s="4" t="s">
        <v>390</v>
      </c>
      <c r="B40" s="4" t="s">
        <v>391</v>
      </c>
      <c r="C40" s="7" t="s">
        <v>474</v>
      </c>
      <c r="D40" s="4" t="s">
        <v>392</v>
      </c>
      <c r="E40" s="4" t="s">
        <v>111</v>
      </c>
      <c r="F40" s="16" t="s">
        <v>277</v>
      </c>
      <c r="G40" s="12" t="s">
        <v>458</v>
      </c>
      <c r="H40" s="4" t="s">
        <v>393</v>
      </c>
      <c r="I40" s="7" t="s">
        <v>421</v>
      </c>
    </row>
    <row r="41" spans="1:9" ht="57.6">
      <c r="A41" s="4" t="s">
        <v>394</v>
      </c>
      <c r="B41" s="4" t="s">
        <v>391</v>
      </c>
      <c r="C41" s="7" t="s">
        <v>473</v>
      </c>
      <c r="D41" s="7" t="s">
        <v>472</v>
      </c>
      <c r="E41" s="4" t="s">
        <v>292</v>
      </c>
      <c r="F41" s="16">
        <v>45978</v>
      </c>
      <c r="G41" s="12" t="s">
        <v>459</v>
      </c>
      <c r="H41" s="4" t="s">
        <v>395</v>
      </c>
      <c r="I41" s="4" t="s">
        <v>396</v>
      </c>
    </row>
    <row r="42" spans="1:9" ht="57.6">
      <c r="A42" s="4" t="s">
        <v>397</v>
      </c>
      <c r="B42" s="4" t="s">
        <v>391</v>
      </c>
      <c r="C42" s="7" t="s">
        <v>478</v>
      </c>
      <c r="D42" s="4" t="s">
        <v>398</v>
      </c>
      <c r="E42" s="4" t="s">
        <v>292</v>
      </c>
      <c r="F42" s="16">
        <v>46066</v>
      </c>
      <c r="G42" s="12" t="s">
        <v>460</v>
      </c>
      <c r="H42" s="4" t="s">
        <v>399</v>
      </c>
      <c r="I42" s="4" t="s">
        <v>400</v>
      </c>
    </row>
    <row r="43" spans="1:9" ht="43.2">
      <c r="A43" s="4" t="s">
        <v>401</v>
      </c>
      <c r="B43" s="4" t="s">
        <v>271</v>
      </c>
      <c r="C43" s="4" t="s">
        <v>402</v>
      </c>
      <c r="D43" s="4" t="s">
        <v>403</v>
      </c>
      <c r="E43" s="4" t="s">
        <v>89</v>
      </c>
      <c r="F43" s="16">
        <v>45901</v>
      </c>
      <c r="G43" s="12" t="s">
        <v>461</v>
      </c>
      <c r="H43" s="4" t="s">
        <v>404</v>
      </c>
      <c r="I43" s="4" t="s">
        <v>405</v>
      </c>
    </row>
    <row r="44" spans="1:9" ht="57.6">
      <c r="A44" s="4" t="s">
        <v>406</v>
      </c>
      <c r="B44" s="4" t="s">
        <v>370</v>
      </c>
      <c r="C44" s="4" t="s">
        <v>370</v>
      </c>
      <c r="D44" s="4" t="s">
        <v>407</v>
      </c>
      <c r="E44" s="4" t="s">
        <v>89</v>
      </c>
      <c r="F44" s="16" t="s">
        <v>277</v>
      </c>
      <c r="G44" s="12" t="s">
        <v>462</v>
      </c>
      <c r="H44" s="4" t="s">
        <v>408</v>
      </c>
      <c r="I44" s="7" t="s">
        <v>422</v>
      </c>
    </row>
    <row r="45" spans="1:9" ht="57.6">
      <c r="A45" s="4" t="s">
        <v>409</v>
      </c>
      <c r="B45" s="4" t="s">
        <v>271</v>
      </c>
      <c r="C45" s="4" t="s">
        <v>410</v>
      </c>
      <c r="D45" s="4" t="s">
        <v>411</v>
      </c>
      <c r="E45" s="4" t="s">
        <v>89</v>
      </c>
      <c r="F45" s="16">
        <v>45414</v>
      </c>
      <c r="G45" s="12" t="s">
        <v>463</v>
      </c>
      <c r="H45" s="4" t="s">
        <v>412</v>
      </c>
      <c r="I45" s="4" t="s">
        <v>413</v>
      </c>
    </row>
    <row r="46" spans="1:9" ht="86.4">
      <c r="A46" s="4" t="s">
        <v>414</v>
      </c>
      <c r="B46" s="4" t="s">
        <v>370</v>
      </c>
      <c r="C46" s="4" t="s">
        <v>370</v>
      </c>
      <c r="D46" s="4" t="s">
        <v>415</v>
      </c>
      <c r="E46" s="4" t="s">
        <v>89</v>
      </c>
      <c r="F46" s="16" t="s">
        <v>277</v>
      </c>
      <c r="G46" s="12" t="s">
        <v>464</v>
      </c>
      <c r="H46" s="4" t="s">
        <v>416</v>
      </c>
      <c r="I46" s="4" t="s">
        <v>417</v>
      </c>
    </row>
  </sheetData>
  <mergeCells count="1">
    <mergeCell ref="A1:I1"/>
  </mergeCells>
  <phoneticPr fontId="1" type="noConversion"/>
  <hyperlinks>
    <hyperlink ref="G6" r:id="rId1" xr:uid="{BA173374-948D-4DAD-8AC1-729933C13C94}"/>
    <hyperlink ref="G5" r:id="rId2" xr:uid="{8CEC6AB9-4727-4503-AF8B-1B5B130F3CFC}"/>
    <hyperlink ref="G7" r:id="rId3" xr:uid="{54B235F2-1897-4D1E-8F43-AEED1DB5C26F}"/>
    <hyperlink ref="G8" r:id="rId4" xr:uid="{22C1A15D-63FF-4717-B5F6-C9D6CB0E7E70}"/>
    <hyperlink ref="G9" r:id="rId5" xr:uid="{A11A49EE-63B0-4F09-9837-39C45BAE3071}"/>
    <hyperlink ref="G10" r:id="rId6" xr:uid="{9D1F6388-CEF3-47D8-9A9B-B28CF34D0D3D}"/>
    <hyperlink ref="G11" r:id="rId7" xr:uid="{F1CE120B-2BEE-4902-86FE-405B2DD49F81}"/>
    <hyperlink ref="G12" r:id="rId8" xr:uid="{E5A29EAD-A686-452E-8EF9-7CD254EE2E34}"/>
    <hyperlink ref="G13" r:id="rId9" xr:uid="{5426A626-0909-434A-87E1-D686BFF2B8DD}"/>
    <hyperlink ref="G14" r:id="rId10" xr:uid="{D904FDDF-55B6-45C4-949B-8DA30E42BDC8}"/>
    <hyperlink ref="G15" r:id="rId11" xr:uid="{4FB0B524-A8F5-4D8F-A6E5-374CD0CC8D77}"/>
    <hyperlink ref="G16" r:id="rId12" xr:uid="{C9C00508-71FA-48C2-8DF8-DB546F06CB08}"/>
    <hyperlink ref="G17" r:id="rId13" xr:uid="{0ABBAF79-3BDF-4316-A1ED-F0136190B1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Security &amp; Indoor</vt:lpstr>
      <vt:lpstr>Outdoor &amp; Logistics</vt:lpstr>
      <vt:lpstr>Humanoid</vt:lpstr>
      <vt:lpstr>Source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李亚晗</dc:creator>
  <cp:lastModifiedBy>亚晗 李</cp:lastModifiedBy>
  <dcterms:created xsi:type="dcterms:W3CDTF">2023-05-12T11:15:00Z</dcterms:created>
  <dcterms:modified xsi:type="dcterms:W3CDTF">2026-07-18T04:31:36Z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
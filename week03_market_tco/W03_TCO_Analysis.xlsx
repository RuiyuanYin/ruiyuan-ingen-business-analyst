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美国单子\实习生实习\W3\"/>
    </mc:Choice>
  </mc:AlternateContent>
  <xr:revisionPtr revIDLastSave="0" documentId="13_ncr:1_{FEBA78EF-5FCB-481B-BB61-2A5357E94D0F}" xr6:coauthVersionLast="47" xr6:coauthVersionMax="47" xr10:uidLastSave="{00000000-0000-0000-0000-000000000000}"/>
  <bookViews>
    <workbookView xWindow="6828" yWindow="228" windowWidth="25140" windowHeight="15828" activeTab="6" xr2:uid="{00000000-000D-0000-FFFF-FFFF00000000}"/>
  </bookViews>
  <sheets>
    <sheet name="Summary" sheetId="1" r:id="rId1"/>
    <sheet name="Assumptions" sheetId="2" r:id="rId2"/>
    <sheet name="Aido Rover" sheetId="3" r:id="rId3"/>
    <sheet name="Sentinel Prime AI" sheetId="4" r:id="rId4"/>
    <sheet name="Sensitivity" sheetId="5" r:id="rId5"/>
    <sheet name="Checks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F18" i="4"/>
  <c r="E18" i="4"/>
  <c r="D18" i="4"/>
  <c r="C18" i="4"/>
  <c r="B18" i="4"/>
  <c r="F17" i="4"/>
  <c r="E17" i="4"/>
  <c r="D17" i="4"/>
  <c r="C17" i="4"/>
  <c r="B17" i="4"/>
  <c r="F14" i="4"/>
  <c r="E14" i="4"/>
  <c r="D14" i="4"/>
  <c r="C14" i="4"/>
  <c r="B14" i="4"/>
  <c r="F13" i="4"/>
  <c r="E13" i="4"/>
  <c r="D13" i="4"/>
  <c r="C13" i="4"/>
  <c r="B13" i="4"/>
  <c r="B13" i="6" s="1"/>
  <c r="D13" i="6" s="1"/>
  <c r="F13" i="6" s="1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27" i="3"/>
  <c r="E27" i="3"/>
  <c r="F26" i="3"/>
  <c r="E26" i="3"/>
  <c r="D26" i="3"/>
  <c r="C26" i="3"/>
  <c r="B26" i="3"/>
  <c r="F19" i="3"/>
  <c r="E19" i="3"/>
  <c r="D19" i="3"/>
  <c r="C19" i="3"/>
  <c r="B19" i="3"/>
  <c r="B11" i="6" s="1"/>
  <c r="D11" i="6" s="1"/>
  <c r="F11" i="6" s="1"/>
  <c r="F16" i="3"/>
  <c r="E16" i="3"/>
  <c r="D16" i="3"/>
  <c r="C16" i="3"/>
  <c r="B16" i="3"/>
  <c r="F15" i="3"/>
  <c r="E15" i="3"/>
  <c r="D15" i="3"/>
  <c r="C15" i="3"/>
  <c r="B15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C48" i="2"/>
  <c r="C10" i="6" s="1"/>
  <c r="C45" i="2"/>
  <c r="B9" i="6" s="1"/>
  <c r="D9" i="6" s="1"/>
  <c r="F9" i="6" s="1"/>
  <c r="C26" i="2"/>
  <c r="D27" i="3" s="1"/>
  <c r="C21" i="2"/>
  <c r="C22" i="2" s="1"/>
  <c r="C17" i="2"/>
  <c r="C25" i="5" s="1"/>
  <c r="D25" i="5" l="1"/>
  <c r="B8" i="6"/>
  <c r="D8" i="6" s="1"/>
  <c r="F8" i="6" s="1"/>
  <c r="B25" i="3"/>
  <c r="C7" i="5"/>
  <c r="E25" i="3"/>
  <c r="D25" i="3"/>
  <c r="B10" i="6"/>
  <c r="D10" i="6" s="1"/>
  <c r="F10" i="6" s="1"/>
  <c r="F24" i="3"/>
  <c r="E24" i="3"/>
  <c r="C24" i="3"/>
  <c r="F25" i="3"/>
  <c r="D24" i="3"/>
  <c r="C31" i="5"/>
  <c r="B31" i="5"/>
  <c r="B24" i="3"/>
  <c r="B7" i="5"/>
  <c r="C25" i="3"/>
  <c r="D7" i="5"/>
  <c r="B32" i="5"/>
  <c r="C13" i="5"/>
  <c r="C32" i="5"/>
  <c r="F14" i="3"/>
  <c r="D13" i="5"/>
  <c r="D32" i="5"/>
  <c r="C18" i="2"/>
  <c r="B19" i="5"/>
  <c r="C19" i="5"/>
  <c r="B13" i="5"/>
  <c r="B27" i="3"/>
  <c r="D19" i="5"/>
  <c r="C27" i="3"/>
  <c r="B25" i="5"/>
  <c r="D31" i="5"/>
  <c r="E16" i="4" l="1"/>
  <c r="C18" i="3"/>
  <c r="C16" i="4"/>
  <c r="B22" i="4"/>
  <c r="B23" i="4" s="1"/>
  <c r="D23" i="3"/>
  <c r="D28" i="3" s="1"/>
  <c r="D16" i="4"/>
  <c r="B18" i="3"/>
  <c r="F17" i="3"/>
  <c r="F20" i="3" s="1"/>
  <c r="E22" i="4"/>
  <c r="E23" i="4" s="1"/>
  <c r="D17" i="3"/>
  <c r="D20" i="3" s="1"/>
  <c r="C15" i="4"/>
  <c r="E23" i="3"/>
  <c r="E28" i="3" s="1"/>
  <c r="F22" i="4"/>
  <c r="F23" i="4" s="1"/>
  <c r="B16" i="4"/>
  <c r="E17" i="3"/>
  <c r="F15" i="4"/>
  <c r="C23" i="3"/>
  <c r="C28" i="3" s="1"/>
  <c r="B23" i="3"/>
  <c r="B28" i="3" s="1"/>
  <c r="D22" i="4"/>
  <c r="D23" i="4" s="1"/>
  <c r="E15" i="4"/>
  <c r="C17" i="3"/>
  <c r="C20" i="3" s="1"/>
  <c r="C22" i="4"/>
  <c r="C23" i="4" s="1"/>
  <c r="D15" i="4"/>
  <c r="F23" i="3"/>
  <c r="F28" i="3" s="1"/>
  <c r="B17" i="3"/>
  <c r="B15" i="4"/>
  <c r="B19" i="4" s="1"/>
  <c r="F18" i="3"/>
  <c r="E18" i="3"/>
  <c r="D18" i="3"/>
  <c r="F16" i="4"/>
  <c r="D19" i="4" l="1"/>
  <c r="D30" i="4" s="1"/>
  <c r="C19" i="4"/>
  <c r="C30" i="4" s="1"/>
  <c r="E20" i="3"/>
  <c r="E35" i="3" s="1"/>
  <c r="B20" i="3"/>
  <c r="D32" i="3" s="1"/>
  <c r="D18" i="1" s="1"/>
  <c r="F35" i="3"/>
  <c r="F37" i="3"/>
  <c r="B43" i="3"/>
  <c r="B35" i="3"/>
  <c r="E32" i="3"/>
  <c r="E18" i="1" s="1"/>
  <c r="F32" i="3"/>
  <c r="F18" i="1" s="1"/>
  <c r="C6" i="6"/>
  <c r="E31" i="4"/>
  <c r="C35" i="3"/>
  <c r="C37" i="3"/>
  <c r="D33" i="3"/>
  <c r="C7" i="6"/>
  <c r="F33" i="3"/>
  <c r="B31" i="3"/>
  <c r="B36" i="3"/>
  <c r="E33" i="3"/>
  <c r="B38" i="3"/>
  <c r="C33" i="3"/>
  <c r="B33" i="3"/>
  <c r="B44" i="3"/>
  <c r="F31" i="3"/>
  <c r="F36" i="3"/>
  <c r="F38" i="3"/>
  <c r="C31" i="4"/>
  <c r="C26" i="4"/>
  <c r="E19" i="4"/>
  <c r="E30" i="4" s="1"/>
  <c r="C36" i="3"/>
  <c r="C38" i="3"/>
  <c r="C31" i="3"/>
  <c r="D36" i="3"/>
  <c r="D31" i="3"/>
  <c r="D38" i="3"/>
  <c r="D37" i="3"/>
  <c r="D35" i="3"/>
  <c r="D26" i="4"/>
  <c r="D31" i="4"/>
  <c r="F19" i="4"/>
  <c r="F30" i="4" s="1"/>
  <c r="E28" i="4"/>
  <c r="B28" i="4"/>
  <c r="B37" i="4"/>
  <c r="F28" i="4"/>
  <c r="C28" i="4"/>
  <c r="B31" i="4"/>
  <c r="D28" i="4"/>
  <c r="B26" i="4"/>
  <c r="B40" i="4"/>
  <c r="F7" i="1" s="1"/>
  <c r="F31" i="4"/>
  <c r="E36" i="3"/>
  <c r="E38" i="3"/>
  <c r="E31" i="3"/>
  <c r="E37" i="3"/>
  <c r="D27" i="4"/>
  <c r="D23" i="1" s="1"/>
  <c r="B27" i="4"/>
  <c r="B23" i="1" s="1"/>
  <c r="B30" i="4"/>
  <c r="C27" i="4"/>
  <c r="C23" i="1" s="1"/>
  <c r="B32" i="3" l="1"/>
  <c r="B18" i="1" s="1"/>
  <c r="C32" i="3"/>
  <c r="C18" i="1" s="1"/>
  <c r="F27" i="4"/>
  <c r="F23" i="1" s="1"/>
  <c r="B37" i="3"/>
  <c r="E26" i="4"/>
  <c r="D24" i="1"/>
  <c r="D29" i="4"/>
  <c r="B34" i="3"/>
  <c r="B19" i="1"/>
  <c r="B24" i="1"/>
  <c r="B29" i="4"/>
  <c r="B39" i="4" s="1"/>
  <c r="E7" i="1" s="1"/>
  <c r="C19" i="1"/>
  <c r="F19" i="1"/>
  <c r="F34" i="3"/>
  <c r="E24" i="1"/>
  <c r="D19" i="1"/>
  <c r="D34" i="3"/>
  <c r="B7" i="6"/>
  <c r="D7" i="6" s="1"/>
  <c r="F7" i="6" s="1"/>
  <c r="B45" i="3"/>
  <c r="D6" i="1" s="1"/>
  <c r="C6" i="1"/>
  <c r="B47" i="3"/>
  <c r="C24" i="1"/>
  <c r="C29" i="4"/>
  <c r="C7" i="1"/>
  <c r="C12" i="6"/>
  <c r="B36" i="4"/>
  <c r="E27" i="4"/>
  <c r="E23" i="1" s="1"/>
  <c r="B6" i="1"/>
  <c r="B6" i="6"/>
  <c r="D6" i="6" s="1"/>
  <c r="F6" i="6" s="1"/>
  <c r="B46" i="3"/>
  <c r="F29" i="4"/>
  <c r="F24" i="1"/>
  <c r="E19" i="1"/>
  <c r="E34" i="3"/>
  <c r="F26" i="4"/>
  <c r="E29" i="4" l="1"/>
  <c r="C34" i="3"/>
  <c r="B7" i="1"/>
  <c r="B12" i="6"/>
  <c r="D12" i="6" s="1"/>
  <c r="F12" i="6" s="1"/>
  <c r="B38" i="4"/>
  <c r="D7" i="1" s="1"/>
  <c r="F16" i="6"/>
  <c r="B48" i="3"/>
  <c r="E6" i="1" s="1"/>
  <c r="B49" i="3"/>
  <c r="F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tc={2717F41A-F03F-F241-592F-2FA6D9AB3BE3}</author>
    <author>tc={52E1138A-6F6B-FFDE-03A8-EDE5007349AE}</author>
    <author>tc={644573AD-2A71-0C9F-0A35-03158C956763}</author>
    <author>tc={967A1285-8E9F-7545-9A52-877D1FC8B72C}</author>
    <author>tc={D64790AD-BFA0-D89C-9F34-BE574B1B4EB2}</author>
    <author>tc={7C60FA7A-2F75-DF16-5AB6-9A31E021FEF6}</author>
    <author>tc={9C6E4099-D2AA-2912-98AF-3ACD44097E35}</author>
    <author>tc={24F5BCA4-8D0D-32B8-74D5-DA9A7D86F386}</author>
    <author>tc={CCA5A3D2-C0AF-8F9A-C9F3-B2610C11F251}</author>
    <author>tc={9685C0A4-E877-F160-2F96-85183AC3431D}</author>
    <author>tc={2321F007-664E-E73A-BB79-D6BD8A1FD91E}</author>
  </authors>
  <commentList>
    <comment ref="C10" authorId="0" shapeId="0" xr:uid="{00000000-0006-0000-0100-000001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Required assumption: annual robot maintenance equals 5% of hardware cost.</t>
        </r>
      </text>
    </comment>
    <comment ref="C11" authorId="1" shapeId="0" xr:uid="{00000000-0006-0000-0100-000002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Required assumption: battery cycle life equals 1,000 full cycles.</t>
        </r>
      </text>
    </comment>
    <comment ref="C18" authorId="2" shapeId="0" xr:uid="{00000000-0006-0000-0100-000003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Formula: BLS mean guard wage multiplied by the ECEC total-compensation-to-wage ratio.</t>
        </r>
      </text>
    </comment>
    <comment ref="C26" authorId="3" shapeId="0" xr:uid="{00000000-0006-0000-0100-000004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AAA low-mileage proxy: $4,760 less the $386 adjustment. The result stays fixed across the model horizon.</t>
        </r>
      </text>
    </comment>
    <comment ref="C34" authorId="4" shapeId="0" xr:uid="{00000000-0006-0000-0100-000005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Unitree official shop page lists the B2 at $100,000 and says to contact sales for the real price.</t>
        </r>
      </text>
    </comment>
    <comment ref="C41" authorId="5" shapeId="0" xr:uid="{00000000-0006-0000-0100-000006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Analyst assumption: $100 per month for cellular data service and remote access.</t>
        </r>
      </text>
    </comment>
    <comment ref="C43" authorId="6" shapeId="0" xr:uid="{00000000-0006-0000-0100-000007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Base estimate: 1.6 full equivalent cycles per day for an eight-hour task and a representative five-hour runtime.</t>
        </r>
      </text>
    </comment>
    <comment ref="C45" authorId="7" shapeId="0" xr:uid="{00000000-0006-0000-0100-000008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Formula: 2.25 kWh battery × 1.6 cycles ÷ 90% charging efficiency = 4.0 kWh/day.</t>
        </r>
      </text>
    </comment>
    <comment ref="C47" authorId="8" shapeId="0" xr:uid="{00000000-0006-0000-0100-000009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Shared route assumption: both alternatives patrol the same 20 km site route each day.</t>
        </r>
      </text>
    </comment>
    <comment ref="C57" authorId="9" shapeId="0" xr:uid="{00000000-0006-0000-0100-00000A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Estimated midpoint of the $25,000–$100,000 Week 1 Sentinel cost tier; not an InGen quote.</t>
        </r>
      </text>
    </comment>
    <comment ref="C65" authorId="10" shapeId="0" xr:uid="{00000000-0006-0000-0100-00000B000000}">
      <text>
        <r>
          <rPr>
            <sz val="11"/>
            <rFont val="等线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Required base-case convention: the AI system is powered 24 hours per day, 365 days per year.</t>
        </r>
      </text>
    </comment>
  </commentList>
</comments>
</file>

<file path=xl/sharedStrings.xml><?xml version="1.0" encoding="utf-8"?>
<sst xmlns="http://schemas.openxmlformats.org/spreadsheetml/2006/main" count="653" uniqueCount="362">
  <si>
    <t>W03 Five-Year TCO Analysis</t>
  </si>
  <si>
    <t>Decision summary</t>
  </si>
  <si>
    <t>Platform</t>
  </si>
  <si>
    <t>Technology TCO</t>
  </si>
  <si>
    <t>Alternative TCO</t>
  </si>
  <si>
    <t>Five-year savings</t>
  </si>
  <si>
    <t>Break-even</t>
  </si>
  <si>
    <t>Approx. payback</t>
  </si>
  <si>
    <t>Aido Rover</t>
  </si>
  <si>
    <t>Sentinel Prime AI</t>
  </si>
  <si>
    <t>Uses a shared 20 km/day route. Cost per km is the primary comparison; cost per hour remains a secondary view.</t>
  </si>
  <si>
    <t>Supports one 24/7 monitoring post while retaining 25% human oversight.</t>
  </si>
  <si>
    <t>Largest driver</t>
  </si>
  <si>
    <t>Avoided human coverage hours and the local wage level determine whether initial deployment costs can be recovered.</t>
  </si>
  <si>
    <t>Important limit</t>
  </si>
  <si>
    <t>Rover and the patrol vehicle use the same route, but sensor coverage and emergency response are still different operating functions.</t>
  </si>
  <si>
    <t>Series</t>
  </si>
  <si>
    <t>Human patrol</t>
  </si>
  <si>
    <t>Human security</t>
  </si>
  <si>
    <t>W03 Five-Year TCO Analysis — Assumptions</t>
  </si>
  <si>
    <t>Model</t>
  </si>
  <si>
    <t>Input</t>
  </si>
  <si>
    <t>Value</t>
  </si>
  <si>
    <t>Unit</t>
  </si>
  <si>
    <t>Type</t>
  </si>
  <si>
    <t>Source ID</t>
  </si>
  <si>
    <t>Derivation / Note</t>
  </si>
  <si>
    <t>General</t>
  </si>
  <si>
    <t>Model horizon</t>
  </si>
  <si>
    <t>years</t>
  </si>
  <si>
    <t>Required assumption</t>
  </si>
  <si>
    <t>S10</t>
  </si>
  <si>
    <t>Five-year comparison</t>
  </si>
  <si>
    <t>Annual cost escalation</t>
  </si>
  <si>
    <t>%/year</t>
  </si>
  <si>
    <t>Analyst estimate</t>
  </si>
  <si>
    <t>Applied to recurring costs; vehicle depreciation stays fixed</t>
  </si>
  <si>
    <t>Commercial electricity price</t>
  </si>
  <si>
    <t>USD/kWh</t>
  </si>
  <si>
    <t>Public source</t>
  </si>
  <si>
    <t>S03</t>
  </si>
  <si>
    <t>2025 U.S. commercial average; preliminary</t>
  </si>
  <si>
    <t>Regular gasoline price</t>
  </si>
  <si>
    <t>USD/gallon</t>
  </si>
  <si>
    <t>S04</t>
  </si>
  <si>
    <t>2025 annual U.S. average</t>
  </si>
  <si>
    <t>Robot maintenance rate</t>
  </si>
  <si>
    <t>% hardware/year</t>
  </si>
  <si>
    <t>Required by Week 3 assignment</t>
  </si>
  <si>
    <t>Battery cycle life</t>
  </si>
  <si>
    <t>full cycles</t>
  </si>
  <si>
    <t>Labor</t>
  </si>
  <si>
    <t>Security guard median hourly wage</t>
  </si>
  <si>
    <t>USD/hour</t>
  </si>
  <si>
    <t>S01</t>
  </si>
  <si>
    <t>BLS OEWS H_MEDIAN for OCC 33-9032; Low sensitivity case</t>
  </si>
  <si>
    <t>Security guard mean hourly wage</t>
  </si>
  <si>
    <t>BLS OEWS H_MEAN for OCC 33-9032; Base case</t>
  </si>
  <si>
    <t>Security guard 90th-percentile hourly wage</t>
  </si>
  <si>
    <t>BLS OEWS H_PCT90 for OCC 33-9032; High sensitivity case</t>
  </si>
  <si>
    <t>ECEC total compensation</t>
  </si>
  <si>
    <t>S02</t>
  </si>
  <si>
    <t>Service occupations</t>
  </si>
  <si>
    <t>ECEC wages and salaries</t>
  </si>
  <si>
    <t>Benefit load factor</t>
  </si>
  <si>
    <t>x wage</t>
  </si>
  <si>
    <t>Formula</t>
  </si>
  <si>
    <t>Total compensation divided by wages</t>
  </si>
  <si>
    <t>Loaded security-guard cost — Base</t>
  </si>
  <si>
    <t>S01/S02</t>
  </si>
  <si>
    <t>Mean OEWS wage multiplied by ECEC benefit factor</t>
  </si>
  <si>
    <t>Conversion</t>
  </si>
  <si>
    <t>Kilometers per mile</t>
  </si>
  <si>
    <t>km/mile</t>
  </si>
  <si>
    <t>Unit conversion</t>
  </si>
  <si>
    <t>Used to convert the shared patrol route to vehicle miles</t>
  </si>
  <si>
    <t>Vehicle</t>
  </si>
  <si>
    <t>Combined MPG</t>
  </si>
  <si>
    <t>miles/gallon</t>
  </si>
  <si>
    <t>Derived from source</t>
  </si>
  <si>
    <t>S05</t>
  </si>
  <si>
    <t>Representative midpoint for 2026 Ford Explorer AWD/Tremor AWD</t>
  </si>
  <si>
    <t>Annual patrol route</t>
  </si>
  <si>
    <t>km/year</t>
  </si>
  <si>
    <t>Same site-required route used for Rover and human patrol</t>
  </si>
  <si>
    <t>Annual patrol miles</t>
  </si>
  <si>
    <t>miles/year</t>
  </si>
  <si>
    <t>Annual route kilometers divided by kilometers per mile</t>
  </si>
  <si>
    <t>Full-coverage insurance</t>
  </si>
  <si>
    <t>USD/year</t>
  </si>
  <si>
    <t>S06</t>
  </si>
  <si>
    <t>AAA Medium SUV (4WD)</t>
  </si>
  <si>
    <t>Depreciation at 15,000 miles</t>
  </si>
  <si>
    <t>AAA Medium SUV (4WD) reference value</t>
  </si>
  <si>
    <t>Low-mileage depreciation reduction</t>
  </si>
  <si>
    <t>AAA 10,000-mile adjustment used as a proxy for the shorter route</t>
  </si>
  <si>
    <t>Applied annual depreciation</t>
  </si>
  <si>
    <t>15,000-mile depreciation less the AAA low-mileage adjustment; held fixed across five years</t>
  </si>
  <si>
    <t>Maintenance</t>
  </si>
  <si>
    <t>USD/mile</t>
  </si>
  <si>
    <t>License / registration / taxes excluded</t>
  </si>
  <si>
    <t>Excluded item</t>
  </si>
  <si>
    <t>Intentionally excluded, which makes the comparison more conservative for Rover</t>
  </si>
  <si>
    <t>Finance charges excluded</t>
  </si>
  <si>
    <t>Aido Rover inputs</t>
  </si>
  <si>
    <t>Hardware cost</t>
  </si>
  <si>
    <t>USD</t>
  </si>
  <si>
    <t>Public analogue</t>
  </si>
  <si>
    <t>S07</t>
  </si>
  <si>
    <t>Unitree B2 displayed price; not an InGen quote</t>
  </si>
  <si>
    <t>Shipping</t>
  </si>
  <si>
    <t>% hardware</t>
  </si>
  <si>
    <t>Visible estimate</t>
  </si>
  <si>
    <t>Payloads / sensors</t>
  </si>
  <si>
    <t>Thermal/visual inspection payload allowance</t>
  </si>
  <si>
    <t>Site preparation</t>
  </si>
  <si>
    <t>Dock and route preparation</t>
  </si>
  <si>
    <t>Integration</t>
  </si>
  <si>
    <t>Workflow and system integration</t>
  </si>
  <si>
    <t>Training</t>
  </si>
  <si>
    <t>Operator and safety training</t>
  </si>
  <si>
    <t>Software / support</t>
  </si>
  <si>
    <t>$1,000 per month</t>
  </si>
  <si>
    <t>Connectivity</t>
  </si>
  <si>
    <t>$100 per month for data service and remote access</t>
  </si>
  <si>
    <t>Battery capacity</t>
  </si>
  <si>
    <t>kWh</t>
  </si>
  <si>
    <t>S08</t>
  </si>
  <si>
    <t>Unitree B2 battery capacity</t>
  </si>
  <si>
    <t>Full equivalent cycles per operating day</t>
  </si>
  <si>
    <t>cycles/day</t>
  </si>
  <si>
    <t>Derived estimate</t>
  </si>
  <si>
    <t>S08/S10</t>
  </si>
  <si>
    <t>Eight-hour task divided by a representative five-hour runtime</t>
  </si>
  <si>
    <t>Charging efficiency</t>
  </si>
  <si>
    <t>%</t>
  </si>
  <si>
    <t>Electricity drawn from the grid after charging losses</t>
  </si>
  <si>
    <t>Daily electricity use</t>
  </si>
  <si>
    <t>kWh/day</t>
  </si>
  <si>
    <t>Battery capacity × full equivalent cycles ÷ charging efficiency</t>
  </si>
  <si>
    <t>Operating days</t>
  </si>
  <si>
    <t>days/year</t>
  </si>
  <si>
    <t>Daily patrol requirement</t>
  </si>
  <si>
    <t>Daily patrol route</t>
  </si>
  <si>
    <t>km/day</t>
  </si>
  <si>
    <t>Shared site-required route; not maximum travel capacity</t>
  </si>
  <si>
    <t>Operating days multiplied by daily patrol route</t>
  </si>
  <si>
    <t>Battery replacement cost</t>
  </si>
  <si>
    <t>Replacement allowance; life fixed at 1,000 cycles</t>
  </si>
  <si>
    <t>Human supervision</t>
  </si>
  <si>
    <t>hours/day</t>
  </si>
  <si>
    <t>Remote review and recovery time</t>
  </si>
  <si>
    <t>Downtime backup rate</t>
  </si>
  <si>
    <t>% patrol hours</t>
  </si>
  <si>
    <t>Human backup during unavailable hours</t>
  </si>
  <si>
    <t>End-of-life value</t>
  </si>
  <si>
    <t>Year 5 residual value</t>
  </si>
  <si>
    <t>Coverage</t>
  </si>
  <si>
    <t>One daily patrol shift</t>
  </si>
  <si>
    <t>Sentinel Prime AI inputs</t>
  </si>
  <si>
    <t>Sentinel</t>
  </si>
  <si>
    <t>Hardware / system cost</t>
  </si>
  <si>
    <t>S09</t>
  </si>
  <si>
    <t>Midpoint of Week 1 Tier 3 estimate</t>
  </si>
  <si>
    <t>Additional sensors / payload</t>
  </si>
  <si>
    <t>Approximately $10,000 in base case</t>
  </si>
  <si>
    <t>Approximately $5,000 in base case</t>
  </si>
  <si>
    <t>VMS/SOC and workflow integration</t>
  </si>
  <si>
    <t>Software / monitoring</t>
  </si>
  <si>
    <t>S09/S10</t>
  </si>
  <si>
    <t>20% of base hardware/system estimate</t>
  </si>
  <si>
    <t>24/7 sensor and edge-compute estimate</t>
  </si>
  <si>
    <t>24/7 power</t>
  </si>
  <si>
    <t>Human oversight share</t>
  </si>
  <si>
    <t>% guard hours</t>
  </si>
  <si>
    <t>Human-in-the-loop review and response</t>
  </si>
  <si>
    <t>Human backup while unavailable</t>
  </si>
  <si>
    <t>Equivalent continuous monitoring post</t>
  </si>
  <si>
    <t>Battery replacement</t>
  </si>
  <si>
    <t>Not applicable</t>
  </si>
  <si>
    <t>Base model is grid-powered; no cycle-based replacement</t>
  </si>
  <si>
    <t>Aido Rover vs. Human Patrol Car — Five-Year TCO</t>
  </si>
  <si>
    <t>Cost item</t>
  </si>
  <si>
    <t>Hardware</t>
  </si>
  <si>
    <t>Electricity</t>
  </si>
  <si>
    <t>Downtime backup labor</t>
  </si>
  <si>
    <t>Total Aido Rover</t>
  </si>
  <si>
    <t>Human patrol car</t>
  </si>
  <si>
    <t>Guard labor and benefits</t>
  </si>
  <si>
    <t>Fuel</t>
  </si>
  <si>
    <t>Vehicle maintenance</t>
  </si>
  <si>
    <t>Insurance</t>
  </si>
  <si>
    <t>Depreciation</t>
  </si>
  <si>
    <t>Total human patrol</t>
  </si>
  <si>
    <t>Comparison</t>
  </si>
  <si>
    <t>Annual savings from Rover</t>
  </si>
  <si>
    <t>Cumulative Rover TCO</t>
  </si>
  <si>
    <t>Cumulative human-patrol TCO</t>
  </si>
  <si>
    <t>Cumulative savings</t>
  </si>
  <si>
    <t>Rover cost per patrol km</t>
  </si>
  <si>
    <t>Human cost per patrol km</t>
  </si>
  <si>
    <t>Rover cost per patrol hour</t>
  </si>
  <si>
    <t>Human cost per patrol hour</t>
  </si>
  <si>
    <t>Break-even and unit-cost output</t>
  </si>
  <si>
    <t>Metric</t>
  </si>
  <si>
    <t>Interpretation</t>
  </si>
  <si>
    <t>Five-year Aido Rover TCO</t>
  </si>
  <si>
    <t>Includes all listed components and residual value</t>
  </si>
  <si>
    <t>Five-year human-patrol TCO</t>
  </si>
  <si>
    <t>Loaded labor plus vehicle costs</t>
  </si>
  <si>
    <t>Human patrol TCO minus Rover TCO</t>
  </si>
  <si>
    <t>Five-year average Rover cost/km</t>
  </si>
  <si>
    <t>Five-year Rover TCO divided by the shared patrol route</t>
  </si>
  <si>
    <t>Five-year average human cost/km</t>
  </si>
  <si>
    <t>Five-year human-patrol TCO divided by the same route</t>
  </si>
  <si>
    <t>Break-even year</t>
  </si>
  <si>
    <t>First year with non-negative cumulative savings</t>
  </si>
  <si>
    <t>Approximate payback</t>
  </si>
  <si>
    <t>Interpolated within the first positive-savings year</t>
  </si>
  <si>
    <t>Sentinel Prime AI vs. Human Security — Five-Year TCO</t>
  </si>
  <si>
    <t>Hardware / system</t>
  </si>
  <si>
    <t>Human oversight</t>
  </si>
  <si>
    <t>Total Sentinel Prime AI</t>
  </si>
  <si>
    <t>Human security alternative</t>
  </si>
  <si>
    <t>Total human security</t>
  </si>
  <si>
    <t>Annual savings from Sentinel</t>
  </si>
  <si>
    <t>Cumulative Sentinel TCO</t>
  </si>
  <si>
    <t>Cumulative human-security TCO</t>
  </si>
  <si>
    <t>Sentinel cost per monitored hour</t>
  </si>
  <si>
    <t>Human cost per monitored hour</t>
  </si>
  <si>
    <t>Break-even output</t>
  </si>
  <si>
    <t>Five-year Sentinel TCO</t>
  </si>
  <si>
    <t>Includes 25% human oversight and 2% downtime backup</t>
  </si>
  <si>
    <t>Five-year human-security TCO</t>
  </si>
  <si>
    <t>Loaded labor for one continuous monitoring post</t>
  </si>
  <si>
    <t>Human-security TCO minus Sentinel TCO</t>
  </si>
  <si>
    <t>Initial deployment cost divided by first-year recurring savings</t>
  </si>
  <si>
    <t>TCO Break-Even Sensitivity</t>
  </si>
  <si>
    <t>Aido Rover — patrol coverage hours per day</t>
  </si>
  <si>
    <t>Output</t>
  </si>
  <si>
    <t>Low</t>
  </si>
  <si>
    <t>Base</t>
  </si>
  <si>
    <t>High</t>
  </si>
  <si>
    <t>Coverage hours/day</t>
  </si>
  <si>
    <t>Avoided labor hours</t>
  </si>
  <si>
    <t>Simple payback</t>
  </si>
  <si>
    <t>Initial deployment cost / annual recurring savings</t>
  </si>
  <si>
    <t>Aido Rover — hardware cost</t>
  </si>
  <si>
    <t>Public analogue tested around base case</t>
  </si>
  <si>
    <t>Coverage remains at 8 hours/day</t>
  </si>
  <si>
    <t>Aido Rover — daily electricity use</t>
  </si>
  <si>
    <t>Daily energy</t>
  </si>
  <si>
    <t>Charging and duty-cycle range around the 4 kWh/day base</t>
  </si>
  <si>
    <t>Electricity price remains at EIA base value</t>
  </si>
  <si>
    <t>Sentinel Prime AI — monitored coverage hours per day</t>
  </si>
  <si>
    <t>Low coverage</t>
  </si>
  <si>
    <t>Mid</t>
  </si>
  <si>
    <t>Avoided human-security coverage</t>
  </si>
  <si>
    <t>Includes 25% human oversight plus 2% downtime backup</t>
  </si>
  <si>
    <t>Both models — security-guard hourly wage</t>
  </si>
  <si>
    <t>Hourly wage</t>
  </si>
  <si>
    <t>BLS median / mean / 90th percentile; each uses the same ECEC benefit factor</t>
  </si>
  <si>
    <t>Rover simple payback</t>
  </si>
  <si>
    <t>Sentinel simple payback</t>
  </si>
  <si>
    <t>Coverage remains at 24 hours/day</t>
  </si>
  <si>
    <t>Main result</t>
  </si>
  <si>
    <t>Largest break-even driver</t>
  </si>
  <si>
    <t>Avoided coverage hours</t>
  </si>
  <si>
    <t>Labor is the largest recurring cost in both alternatives.</t>
  </si>
  <si>
    <t>Public data needed</t>
  </si>
  <si>
    <t>Local/industry wage and public security contracts</t>
  </si>
  <si>
    <t>Use BLS metro/industry wages and public bid documents with required staffing hours.</t>
  </si>
  <si>
    <t>W03 Five-Year TCO Analysis — Checks</t>
  </si>
  <si>
    <t>Check</t>
  </si>
  <si>
    <t>Actual</t>
  </si>
  <si>
    <t>Expected</t>
  </si>
  <si>
    <t>Difference</t>
  </si>
  <si>
    <t>Tolerance</t>
  </si>
  <si>
    <t>Status</t>
  </si>
  <si>
    <t>Notes</t>
  </si>
  <si>
    <t>Rover five-year total ties to schedule</t>
  </si>
  <si>
    <t>Expected value is the sum of annual Rover totals.</t>
  </si>
  <si>
    <t>Human patrol five-year total ties to schedule</t>
  </si>
  <si>
    <t>Expected value is the sum of annual human-patrol totals.</t>
  </si>
  <si>
    <t>Rover battery replacement count</t>
  </si>
  <si>
    <t>1.6 cycles/day crosses the 1,000-cycle life in Years 2 and 4.</t>
  </si>
  <si>
    <t>Rover daily electricity is capacity-based</t>
  </si>
  <si>
    <t>Daily grid energy must equal battery capacity × cycles ÷ charging efficiency.</t>
  </si>
  <si>
    <t>Shared route converts from miles to kilometers</t>
  </si>
  <si>
    <t>Vehicle miles convert back to the same annual route used by Rover.</t>
  </si>
  <si>
    <t>Rover residual value occurs once</t>
  </si>
  <si>
    <t>Residual value is recognized only in Year 5.</t>
  </si>
  <si>
    <t>Sentinel five-year total ties to schedule</t>
  </si>
  <si>
    <t>Expected value is the sum of annual Sentinel totals.</t>
  </si>
  <si>
    <t>Sentinel 24/7 power is positive each year</t>
  </si>
  <si>
    <t>Electricity cost appears in all five years.</t>
  </si>
  <si>
    <t>MODEL STATUS</t>
  </si>
  <si>
    <t>W03 Five-Year TCO Analysis — Sources</t>
  </si>
  <si>
    <t>Model Input / Use</t>
  </si>
  <si>
    <t>Value / Unit</t>
  </si>
  <si>
    <t>Period</t>
  </si>
  <si>
    <t>Source</t>
  </si>
  <si>
    <t>URL</t>
  </si>
  <si>
    <t>Security-guard wage</t>
  </si>
  <si>
    <t>$18.28 median; $20.42 mean; $28.29 P90</t>
  </si>
  <si>
    <t>May 2025</t>
  </si>
  <si>
    <t>BLS OEWS National</t>
  </si>
  <si>
    <t>https://www.bls.gov/oes/tables.htm</t>
  </si>
  <si>
    <t>OCC_CODE 33-9032. Mean is the base case; median and P90 are sensitivity cases.</t>
  </si>
  <si>
    <t>Benefit load</t>
  </si>
  <si>
    <t>$23.63 total compensation / $18.15 wages</t>
  </si>
  <si>
    <t>March 2026</t>
  </si>
  <si>
    <t>BLS Employer Costs for Employee Compensation</t>
  </si>
  <si>
    <t>https://www.bls.gov/news.release/pdf/ecec.pdf</t>
  </si>
  <si>
    <t>Table 4, service occupations; factor = 1.302.</t>
  </si>
  <si>
    <t>Commercial electricity</t>
  </si>
  <si>
    <t>$0.1341/kWh</t>
  </si>
  <si>
    <t>2025</t>
  </si>
  <si>
    <t>U.S. EIA Table 5.3</t>
  </si>
  <si>
    <t>https://www.eia.gov/electricity/monthly/xls/table_5_03.xlsx</t>
  </si>
  <si>
    <t>U.S. commercial-sector annual average; preliminary.</t>
  </si>
  <si>
    <t>Regular gasoline</t>
  </si>
  <si>
    <t>$3.097/gallon</t>
  </si>
  <si>
    <t>U.S. EIA Annual Gasoline Price</t>
  </si>
  <si>
    <t>https://www.eia.gov/dnav/pet/hist/LeafHandler.ashx?f=a&amp;n=pet&amp;s=emm_epmr_pte_nus_dpg</t>
  </si>
  <si>
    <t>Annual U.S. regular retail average.</t>
  </si>
  <si>
    <t>Patrol SUV fuel economy</t>
  </si>
  <si>
    <t>21 combined MPG</t>
  </si>
  <si>
    <t>Model year 2026</t>
  </si>
  <si>
    <t>EPA/DOE FuelEconomy.gov</t>
  </si>
  <si>
    <t>https://www.fueleconomy.gov/feg/download.shtml</t>
  </si>
  <si>
    <t>Representative midpoint within 2026 Ford Explorer AWD/Tremor AWD records.</t>
  </si>
  <si>
    <t>SUV insurance, depreciation, maintenance</t>
  </si>
  <si>
    <t>$1,833; $4,760 less $386; $0.1179/mile</t>
  </si>
  <si>
    <t>AAA Your Driving Costs</t>
  </si>
  <si>
    <t>https://newsroom.aaa.com/wp-content/uploads/2025/09/AAA-Brochure-Your-Driving-Cost-9.2025.pdf</t>
  </si>
  <si>
    <t>Medium SUV (4WD). The 10,000-mile depreciation adjustment is used as a proxy. License/taxes ($835) and finance ($1,190) are deliberately excluded.</t>
  </si>
  <si>
    <t>Aido Rover hardware price analogue</t>
  </si>
  <si>
    <t>$100,000 displayed price</t>
  </si>
  <si>
    <t>Current listing</t>
  </si>
  <si>
    <t>Unitree official shop — B2</t>
  </si>
  <si>
    <t>https://shop.unitree.com/products/unitree-b2</t>
  </si>
  <si>
    <t>Used as a public hardware analogue. The listing also says to contact sales for the real price.</t>
  </si>
  <si>
    <t>Aido Rover battery, runtime, and range</t>
  </si>
  <si>
    <t>2.25 kWh; 4–6 hours; &gt;20 km unloaded</t>
  </si>
  <si>
    <t>Current specifications</t>
  </si>
  <si>
    <t>Unitree B2 specifications</t>
  </si>
  <si>
    <t>https://www.unitree.com/b2/</t>
  </si>
  <si>
    <t>Supports the battery, duty-cycle, and route assumptions. It is not used as the price source.</t>
  </si>
  <si>
    <t>Sentinel cost tier and product role</t>
  </si>
  <si>
    <t>$25,000–$100,000 Tier 3</t>
  </si>
  <si>
    <t>2026-07-13</t>
  </si>
  <si>
    <t>W01_InGen_BA_Landscape.md</t>
  </si>
  <si>
    <t>https://ingendynamics.com/sentinel.html</t>
  </si>
  <si>
    <t>Base hardware/system estimate is the tier midpoint.</t>
  </si>
  <si>
    <t>Unknown inputs and fixed assignment assumptions</t>
  </si>
  <si>
    <t>Explicit estimates / required values</t>
  </si>
  <si>
    <t>Week 3</t>
  </si>
  <si>
    <t>Internship plan and Week 1 framework primer</t>
  </si>
  <si>
    <t>Five years; 1,000 battery cycles; 5% maintenance; $1,200/year Rover connectivity; 20 km/day shared route; 90% charging efficiency; nominal, undiscounted USD.</t>
  </si>
  <si>
    <t>Base-case interpretation</t>
    <phoneticPr fontId="5" type="noConversion"/>
  </si>
  <si>
    <t>Light gray value cells are editable estimates. Public inputs and required assumptions are separately identified.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</si>
</sst>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.00;\(#,##0.00\);\-"/>
    <numFmt numFmtId="177" formatCode="0.0%;\(0.0%\);\-"/>
    <numFmt numFmtId="178" formatCode="\$0.0000"/>
    <numFmt numFmtId="179" formatCode="\$0.000"/>
    <numFmt numFmtId="180" formatCode="\$#,##0.0;\(\$#,##0.0\);\-"/>
    <numFmt numFmtId="181" formatCode="0.000\x"/>
    <numFmt numFmtId="182" formatCode="0.000000"/>
    <numFmt numFmtId="183" formatCode="#,##0.0;\(#,##0.0\);\-"/>
    <numFmt numFmtId="184" formatCode="\$#,##0;\(\$#,##0\);\-"/>
    <numFmt numFmtId="185" formatCode="&quot;Year &quot;0"/>
    <numFmt numFmtId="186" formatCode="0.0\ &quot;months&quot;"/>
    <numFmt numFmtId="187" formatCode="0.0\ &quot;kWh/day&quot;"/>
  </numFmts>
  <fonts count="9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9"/>
      <name val="宋体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185" fontId="1" fillId="3" borderId="1" xfId="1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184" fontId="2" fillId="0" borderId="1" xfId="1" applyNumberFormat="1" applyFont="1" applyBorder="1" applyAlignment="1">
      <alignment horizontal="center" vertical="center" wrapText="1"/>
    </xf>
    <xf numFmtId="186" fontId="2" fillId="0" borderId="1" xfId="1" applyNumberFormat="1" applyFont="1" applyBorder="1" applyAlignment="1">
      <alignment horizontal="center" vertical="center" wrapText="1"/>
    </xf>
    <xf numFmtId="184" fontId="2" fillId="0" borderId="4" xfId="1" applyNumberFormat="1" applyFont="1" applyBorder="1" applyAlignment="1">
      <alignment horizontal="center" vertical="center" wrapText="1"/>
    </xf>
    <xf numFmtId="184" fontId="2" fillId="0" borderId="2" xfId="1" applyNumberFormat="1" applyFont="1" applyBorder="1" applyAlignment="1">
      <alignment horizontal="center" vertical="center" wrapText="1"/>
    </xf>
    <xf numFmtId="184" fontId="2" fillId="0" borderId="5" xfId="1" applyNumberFormat="1" applyFont="1" applyBorder="1" applyAlignment="1">
      <alignment horizontal="center" vertical="center" wrapText="1"/>
    </xf>
    <xf numFmtId="176" fontId="2" fillId="3" borderId="1" xfId="1" applyNumberFormat="1" applyFont="1" applyFill="1" applyBorder="1" applyAlignment="1">
      <alignment horizontal="center" vertical="center" wrapText="1"/>
    </xf>
    <xf numFmtId="177" fontId="2" fillId="3" borderId="1" xfId="1" applyNumberFormat="1" applyFont="1" applyFill="1" applyBorder="1" applyAlignment="1">
      <alignment horizontal="center" vertical="center" wrapText="1"/>
    </xf>
    <xf numFmtId="178" fontId="2" fillId="0" borderId="1" xfId="1" applyNumberFormat="1" applyFont="1" applyBorder="1" applyAlignment="1">
      <alignment horizontal="center" vertical="center" wrapText="1"/>
    </xf>
    <xf numFmtId="179" fontId="2" fillId="0" borderId="1" xfId="1" applyNumberFormat="1" applyFont="1" applyBorder="1" applyAlignment="1">
      <alignment horizontal="center" vertical="center" wrapText="1"/>
    </xf>
    <xf numFmtId="180" fontId="2" fillId="0" borderId="1" xfId="1" applyNumberFormat="1" applyFont="1" applyBorder="1" applyAlignment="1">
      <alignment horizontal="center" vertical="center" wrapText="1"/>
    </xf>
    <xf numFmtId="181" fontId="2" fillId="0" borderId="1" xfId="1" applyNumberFormat="1" applyFont="1" applyBorder="1" applyAlignment="1">
      <alignment horizontal="center" vertical="center" wrapText="1"/>
    </xf>
    <xf numFmtId="182" fontId="2" fillId="0" borderId="1" xfId="1" applyNumberFormat="1" applyFont="1" applyBorder="1" applyAlignment="1">
      <alignment horizontal="center" vertical="center" wrapText="1"/>
    </xf>
    <xf numFmtId="183" fontId="2" fillId="0" borderId="1" xfId="1" applyNumberFormat="1" applyFont="1" applyBorder="1" applyAlignment="1">
      <alignment horizontal="center" vertical="center" wrapText="1"/>
    </xf>
    <xf numFmtId="184" fontId="2" fillId="3" borderId="1" xfId="1" applyNumberFormat="1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183" fontId="2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184" fontId="1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84" fontId="0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5128efbbc9f4499f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/>
              <a:t>Aido Rover cumulative TCO (USD)</a:t>
            </a:r>
          </a:p>
        </c:rich>
      </c:tx>
      <c:layout>
        <c:manualLayout>
          <c:xMode val="edge"/>
          <c:yMode val="edge"/>
          <c:x val="0.32775573192239865"/>
          <c:y val="3.4364261168384883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Aido Rover</c:v>
          </c:tx>
          <c:marker>
            <c:symbol val="none"/>
          </c:marker>
          <c:cat>
            <c:numRef>
              <c:f>Summary!$B$17:$F$17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Summary!$B$18:$F$18</c:f>
              <c:numCache>
                <c:formatCode>\$#,##0;\(\$#,##0\);\-</c:formatCode>
                <c:ptCount val="5"/>
                <c:pt idx="0">
                  <c:v>186980.91385674931</c:v>
                </c:pt>
                <c:pt idx="1">
                  <c:v>235371.2551292011</c:v>
                </c:pt>
                <c:pt idx="2">
                  <c:v>269299.80663982645</c:v>
                </c:pt>
                <c:pt idx="3">
                  <c:v>320637.11969577055</c:v>
                </c:pt>
                <c:pt idx="4">
                  <c:v>346631.91999339301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1D-4074-99FB-C054FF147F7D}"/>
            </c:ext>
          </c:extLst>
        </c:ser>
        <c:ser>
          <c:idx val="1"/>
          <c:order val="1"/>
          <c:tx>
            <c:v>Human patrol</c:v>
          </c:tx>
          <c:marker>
            <c:symbol val="none"/>
          </c:marker>
          <c:cat>
            <c:numRef>
              <c:f>Summary!$B$17:$F$17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Summary!$B$19:$F$19</c:f>
              <c:numCache>
                <c:formatCode>\$#,##0;\(\$#,##0\);\-</c:formatCode>
                <c:ptCount val="5"/>
                <c:pt idx="0">
                  <c:v>85040.05101360094</c:v>
                </c:pt>
                <c:pt idx="1">
                  <c:v>172500.08355760991</c:v>
                </c:pt>
                <c:pt idx="2">
                  <c:v>262452.69707793911</c:v>
                </c:pt>
                <c:pt idx="3">
                  <c:v>354972.6690038782</c:v>
                </c:pt>
                <c:pt idx="4">
                  <c:v>450137.02008759545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1D-4074-99FB-C054FF147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Year &quot;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/>
              <a:t>Sentinel cumulative TCO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Sentinel Prime AI</c:v>
          </c:tx>
          <c:marker>
            <c:symbol val="none"/>
          </c:marker>
          <c:cat>
            <c:numRef>
              <c:f>Summary!$B$22:$F$22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Summary!$B$23:$F$23</c:f>
              <c:numCache>
                <c:formatCode>\$#,##0;\(\$#,##0\);\-</c:formatCode>
                <c:ptCount val="5"/>
                <c:pt idx="0">
                  <c:v>176776.57415123968</c:v>
                </c:pt>
                <c:pt idx="1">
                  <c:v>257787.69552701653</c:v>
                </c:pt>
                <c:pt idx="2">
                  <c:v>341229.15054406668</c:v>
                </c:pt>
                <c:pt idx="3">
                  <c:v>427173.84921162837</c:v>
                </c:pt>
                <c:pt idx="4">
                  <c:v>509446.8888392169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E2-45E6-AE60-4F06239F82B8}"/>
            </c:ext>
          </c:extLst>
        </c:ser>
        <c:ser>
          <c:idx val="1"/>
          <c:order val="1"/>
          <c:tx>
            <c:v>Human security</c:v>
          </c:tx>
          <c:marker>
            <c:symbol val="none"/>
          </c:marker>
          <c:cat>
            <c:numRef>
              <c:f>Summary!$B$22:$F$22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Summary!$B$24:$F$24</c:f>
              <c:numCache>
                <c:formatCode>\$#,##0;\(\$#,##0\);\-</c:formatCode>
                <c:ptCount val="5"/>
                <c:pt idx="0">
                  <c:v>232887.9061157025</c:v>
                </c:pt>
                <c:pt idx="1">
                  <c:v>472762.44941487606</c:v>
                </c:pt>
                <c:pt idx="2">
                  <c:v>719833.22901302483</c:v>
                </c:pt>
                <c:pt idx="3">
                  <c:v>974316.13199911802</c:v>
                </c:pt>
                <c:pt idx="4">
                  <c:v>1236433.5220747939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E2-45E6-AE60-4F06239F8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Year &quot;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99060</xdr:rowOff>
    </xdr:from>
    <xdr:to>
      <xdr:col>14</xdr:col>
      <xdr:colOff>0</xdr:colOff>
      <xdr:row>37</xdr:row>
      <xdr:rowOff>45720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1310640</xdr:colOff>
      <xdr:row>37</xdr:row>
      <xdr:rowOff>38100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70FCB6F4-8121-8B84-4F42-98E404C5F0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Ruiyuan Yin" id="{770AC137-ECD1-4B88-8D5F-6354EA6BD78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C10" dT="2026-07-27T16:05:49.336" personId="{770AC137-ECD1-4B88-8D5F-6354EA6BD783}" id="{2717F41A-F03F-F241-592F-2FA6D9AB3BE3}">
    <xltc:text>Required assumption: annual robot maintenance equals 5% of hardware cost.</xltc:text>
  </xltc:threadedComment>
  <xltc:threadedComment ref="C11" dT="2026-07-27T16:05:49.336" personId="{770AC137-ECD1-4B88-8D5F-6354EA6BD783}" id="{52E1138A-6F6B-FFDE-03A8-EDE5007349AE}">
    <xltc:text>Required assumption: battery cycle life equals 1,000 full cycles.</xltc:text>
  </xltc:threadedComment>
  <xltc:threadedComment ref="C18" dT="2026-07-27T16:05:49.336" personId="{770AC137-ECD1-4B88-8D5F-6354EA6BD783}" id="{644573AD-2A71-0C9F-0A35-03158C956763}">
    <xltc:text>Formula: BLS mean guard wage multiplied by the ECEC total-compensation-to-wage ratio.</xltc:text>
  </xltc:threadedComment>
  <xltc:threadedComment ref="C26" dT="2026-07-27T16:05:49.336" personId="{770AC137-ECD1-4B88-8D5F-6354EA6BD783}" id="{967A1285-8E9F-7545-9A52-877D1FC8B72C}">
    <xltc:text>AAA low-mileage proxy: $4,760 less the $386 adjustment. The result stays fixed across the model horizon.</xltc:text>
  </xltc:threadedComment>
  <xltc:threadedComment ref="C34" dT="2026-07-27T16:05:49.336" personId="{770AC137-ECD1-4B88-8D5F-6354EA6BD783}" id="{D64790AD-BFA0-D89C-9F34-BE574B1B4EB2}">
    <xltc:text>Source: Unitree official shop page lists the B2 at $100,000 and says to contact sales for the real price.</xltc:text>
  </xltc:threadedComment>
  <xltc:threadedComment ref="C41" dT="2026-07-27T16:05:49.336" personId="{770AC137-ECD1-4B88-8D5F-6354EA6BD783}" id="{7C60FA7A-2F75-DF16-5AB6-9A31E021FEF6}">
    <xltc:text>Analyst assumption: $100 per month for cellular data service and remote access.</xltc:text>
  </xltc:threadedComment>
  <xltc:threadedComment ref="C43" dT="2026-07-27T16:05:49.336" personId="{770AC137-ECD1-4B88-8D5F-6354EA6BD783}" id="{9C6E4099-D2AA-2912-98AF-3ACD44097E35}">
    <xltc:text>Base estimate: 1.6 full equivalent cycles per day for an eight-hour task and a representative five-hour runtime.</xltc:text>
  </xltc:threadedComment>
  <xltc:threadedComment ref="C45" dT="2026-07-27T16:05:49.336" personId="{770AC137-ECD1-4B88-8D5F-6354EA6BD783}" id="{24F5BCA4-8D0D-32B8-74D5-DA9A7D86F386}">
    <xltc:text>Formula: 2.25 kWh battery × 1.6 cycles ÷ 90% charging efficiency = 4.0 kWh/day.</xltc:text>
  </xltc:threadedComment>
  <xltc:threadedComment ref="C47" dT="2026-07-27T16:05:49.336" personId="{770AC137-ECD1-4B88-8D5F-6354EA6BD783}" id="{CCA5A3D2-C0AF-8F9A-C9F3-B2610C11F251}">
    <xltc:text>Shared route assumption: both alternatives patrol the same 20 km site route each day.</xltc:text>
  </xltc:threadedComment>
  <xltc:threadedComment ref="C57" dT="2026-07-27T16:05:49.336" personId="{770AC137-ECD1-4B88-8D5F-6354EA6BD783}" id="{9685C0A4-E877-F160-2F96-85183AC3431D}">
    <xltc:text>Estimated midpoint of the $25,000–$100,000 Week 1 Sentinel cost tier; not an InGen quote.</xltc:text>
  </xltc:threadedComment>
  <xltc:threadedComment ref="C65" dT="2026-07-27T16:05:49.336" personId="{770AC137-ECD1-4B88-8D5F-6354EA6BD783}" id="{2321F007-664E-E73A-BB79-D6BD8A1FD91E}">
    <xltc:text>Required base-case convention: the AI system is powered 24 hours per day, 365 days per year.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c769844ec5634698" Type="http://schemas.microsoft.com/office/2017/10/relationships/threadedComment" Target="../threadedcomments/threadedcomment.xml"/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Normal="100" workbookViewId="0">
      <selection activeCell="C30" sqref="C30"/>
    </sheetView>
  </sheetViews>
  <sheetFormatPr defaultRowHeight="13.8"/>
  <cols>
    <col min="1" max="1" width="24" customWidth="1"/>
    <col min="2" max="4" width="20" customWidth="1"/>
    <col min="5" max="5" width="17" customWidth="1"/>
    <col min="6" max="6" width="18" customWidth="1"/>
    <col min="8" max="14" width="12" customWidth="1"/>
  </cols>
  <sheetData>
    <row r="1" spans="1:6" ht="24.6" customHeight="1">
      <c r="A1" s="4" t="s">
        <v>0</v>
      </c>
      <c r="B1" s="4"/>
      <c r="C1" s="4"/>
      <c r="D1" s="4"/>
      <c r="E1" s="4"/>
      <c r="F1" s="4"/>
    </row>
    <row r="2" spans="1:6" ht="19.8" hidden="1" customHeight="1">
      <c r="A2" s="4"/>
      <c r="B2" s="4"/>
      <c r="C2" s="4"/>
      <c r="D2" s="4"/>
      <c r="E2" s="4"/>
      <c r="F2" s="4"/>
    </row>
    <row r="3" spans="1:6" hidden="1">
      <c r="A3" s="4"/>
      <c r="B3" s="4"/>
      <c r="C3" s="4"/>
      <c r="D3" s="4"/>
      <c r="E3" s="4"/>
      <c r="F3" s="4"/>
    </row>
    <row r="4" spans="1:6" ht="22.05" customHeight="1">
      <c r="A4" s="5" t="s">
        <v>1</v>
      </c>
      <c r="B4" s="5"/>
      <c r="C4" s="5"/>
      <c r="D4" s="5"/>
      <c r="E4" s="5"/>
      <c r="F4" s="5"/>
    </row>
    <row r="5" spans="1:6" ht="28.0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15" customHeight="1">
      <c r="A6" s="8" t="s">
        <v>8</v>
      </c>
      <c r="B6" s="9">
        <f>'Aido Rover'!B43</f>
        <v>346631.91999339301</v>
      </c>
      <c r="C6" s="9">
        <f>'Aido Rover'!B44</f>
        <v>450137.02008759545</v>
      </c>
      <c r="D6" s="9">
        <f>'Aido Rover'!B45</f>
        <v>103505.10009420244</v>
      </c>
      <c r="E6" s="8" t="str">
        <f>'Aido Rover'!B48</f>
        <v>Year 4</v>
      </c>
      <c r="F6" s="10">
        <f>'Aido Rover'!B49</f>
        <v>37.995143514216181</v>
      </c>
    </row>
    <row r="7" spans="1:6" ht="15" customHeight="1">
      <c r="A7" s="8" t="s">
        <v>9</v>
      </c>
      <c r="B7" s="9">
        <f>'Sentinel Prime AI'!B36</f>
        <v>509446.8888392169</v>
      </c>
      <c r="C7" s="9">
        <f>'Sentinel Prime AI'!B37</f>
        <v>1236433.5220747939</v>
      </c>
      <c r="D7" s="9">
        <f>'Sentinel Prime AI'!B38</f>
        <v>726986.63323557703</v>
      </c>
      <c r="E7" s="8" t="str">
        <f>'Sentinel Prime AI'!B39</f>
        <v>Year 1</v>
      </c>
      <c r="F7" s="10">
        <f>'Sentinel Prime AI'!B40</f>
        <v>7.6343879875936409</v>
      </c>
    </row>
    <row r="10" spans="1:6" ht="15" customHeight="1">
      <c r="A10" s="6" t="s">
        <v>360</v>
      </c>
      <c r="B10" s="6"/>
      <c r="C10" s="6"/>
      <c r="D10" s="6"/>
      <c r="E10" s="6"/>
      <c r="F10" s="6"/>
    </row>
    <row r="11" spans="1:6" ht="27.6" customHeight="1">
      <c r="A11" s="7" t="s">
        <v>8</v>
      </c>
      <c r="B11" s="11" t="s">
        <v>10</v>
      </c>
      <c r="C11" s="12"/>
      <c r="D11" s="12"/>
      <c r="E11" s="12"/>
      <c r="F11" s="13"/>
    </row>
    <row r="12" spans="1:6" ht="27.6" customHeight="1">
      <c r="A12" s="7" t="s">
        <v>9</v>
      </c>
      <c r="B12" s="11" t="s">
        <v>11</v>
      </c>
      <c r="C12" s="12"/>
      <c r="D12" s="12"/>
      <c r="E12" s="12"/>
      <c r="F12" s="13"/>
    </row>
    <row r="13" spans="1:6" ht="30" customHeight="1">
      <c r="A13" s="7" t="s">
        <v>12</v>
      </c>
      <c r="B13" s="11" t="s">
        <v>13</v>
      </c>
      <c r="C13" s="12"/>
      <c r="D13" s="12"/>
      <c r="E13" s="12"/>
      <c r="F13" s="13"/>
    </row>
    <row r="14" spans="1:6" ht="26.4" customHeight="1">
      <c r="A14" s="7" t="s">
        <v>14</v>
      </c>
      <c r="B14" s="11" t="s">
        <v>15</v>
      </c>
      <c r="C14" s="12"/>
      <c r="D14" s="12"/>
      <c r="E14" s="12"/>
      <c r="F14" s="13"/>
    </row>
    <row r="17" spans="1:6" ht="15" customHeight="1">
      <c r="A17" s="1" t="s">
        <v>16</v>
      </c>
      <c r="B17" s="2">
        <v>1</v>
      </c>
      <c r="C17" s="2">
        <v>2</v>
      </c>
      <c r="D17" s="2">
        <v>3</v>
      </c>
      <c r="E17" s="2">
        <v>4</v>
      </c>
      <c r="F17" s="2">
        <v>5</v>
      </c>
    </row>
    <row r="18" spans="1:6" ht="15" customHeight="1">
      <c r="A18" s="8" t="s">
        <v>8</v>
      </c>
      <c r="B18" s="9">
        <f>'Aido Rover'!B32</f>
        <v>186980.91385674931</v>
      </c>
      <c r="C18" s="9">
        <f>'Aido Rover'!C32</f>
        <v>235371.2551292011</v>
      </c>
      <c r="D18" s="9">
        <f>'Aido Rover'!D32</f>
        <v>269299.80663982645</v>
      </c>
      <c r="E18" s="9">
        <f>'Aido Rover'!E32</f>
        <v>320637.11969577055</v>
      </c>
      <c r="F18" s="9">
        <f>'Aido Rover'!F32</f>
        <v>346631.91999339301</v>
      </c>
    </row>
    <row r="19" spans="1:6" ht="15" customHeight="1">
      <c r="A19" s="8" t="s">
        <v>17</v>
      </c>
      <c r="B19" s="9">
        <f>'Aido Rover'!B33</f>
        <v>85040.05101360094</v>
      </c>
      <c r="C19" s="9">
        <f>'Aido Rover'!C33</f>
        <v>172500.08355760991</v>
      </c>
      <c r="D19" s="9">
        <f>'Aido Rover'!D33</f>
        <v>262452.69707793911</v>
      </c>
      <c r="E19" s="9">
        <f>'Aido Rover'!E33</f>
        <v>354972.6690038782</v>
      </c>
      <c r="F19" s="9">
        <f>'Aido Rover'!F33</f>
        <v>450137.02008759545</v>
      </c>
    </row>
    <row r="22" spans="1:6" ht="15" customHeight="1">
      <c r="A22" s="1" t="s">
        <v>16</v>
      </c>
      <c r="B22" s="2">
        <v>1</v>
      </c>
      <c r="C22" s="2">
        <v>2</v>
      </c>
      <c r="D22" s="2">
        <v>3</v>
      </c>
      <c r="E22" s="2">
        <v>4</v>
      </c>
      <c r="F22" s="2">
        <v>5</v>
      </c>
    </row>
    <row r="23" spans="1:6" ht="15" customHeight="1">
      <c r="A23" s="8" t="s">
        <v>9</v>
      </c>
      <c r="B23" s="9">
        <f>'Sentinel Prime AI'!B27</f>
        <v>176776.57415123968</v>
      </c>
      <c r="C23" s="9">
        <f>'Sentinel Prime AI'!C27</f>
        <v>257787.69552701653</v>
      </c>
      <c r="D23" s="9">
        <f>'Sentinel Prime AI'!D27</f>
        <v>341229.15054406668</v>
      </c>
      <c r="E23" s="9">
        <f>'Sentinel Prime AI'!E27</f>
        <v>427173.84921162837</v>
      </c>
      <c r="F23" s="9">
        <f>'Sentinel Prime AI'!F27</f>
        <v>509446.8888392169</v>
      </c>
    </row>
    <row r="24" spans="1:6" ht="15" customHeight="1">
      <c r="A24" s="8" t="s">
        <v>18</v>
      </c>
      <c r="B24" s="9">
        <f>'Sentinel Prime AI'!B28</f>
        <v>232887.9061157025</v>
      </c>
      <c r="C24" s="9">
        <f>'Sentinel Prime AI'!C28</f>
        <v>472762.44941487606</v>
      </c>
      <c r="D24" s="9">
        <f>'Sentinel Prime AI'!D28</f>
        <v>719833.22901302483</v>
      </c>
      <c r="E24" s="9">
        <f>'Sentinel Prime AI'!E28</f>
        <v>974316.13199911802</v>
      </c>
      <c r="F24" s="9">
        <f>'Sentinel Prime AI'!F28</f>
        <v>1236433.5220747939</v>
      </c>
    </row>
  </sheetData>
  <mergeCells count="7">
    <mergeCell ref="B12:F12"/>
    <mergeCell ref="B13:F13"/>
    <mergeCell ref="B14:F14"/>
    <mergeCell ref="A1:F3"/>
    <mergeCell ref="A4:F4"/>
    <mergeCell ref="A10:F10"/>
    <mergeCell ref="B11:F1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workbookViewId="0">
      <selection activeCell="J23" sqref="J23"/>
    </sheetView>
  </sheetViews>
  <sheetFormatPr defaultRowHeight="13.8"/>
  <cols>
    <col min="1" max="1" width="16" customWidth="1"/>
    <col min="2" max="2" width="39" customWidth="1"/>
    <col min="3" max="3" width="17" customWidth="1"/>
    <col min="4" max="5" width="20" customWidth="1"/>
    <col min="6" max="6" width="12" customWidth="1"/>
    <col min="7" max="7" width="61" customWidth="1"/>
  </cols>
  <sheetData>
    <row r="1" spans="1:7" ht="27" customHeight="1">
      <c r="A1" s="4" t="s">
        <v>19</v>
      </c>
      <c r="B1" s="4"/>
      <c r="C1" s="4"/>
      <c r="D1" s="4"/>
      <c r="E1" s="4"/>
      <c r="F1" s="4"/>
      <c r="G1" s="4"/>
    </row>
    <row r="2" spans="1:7" ht="3" customHeight="1">
      <c r="A2" s="4"/>
      <c r="B2" s="4"/>
      <c r="C2" s="4"/>
      <c r="D2" s="4"/>
      <c r="E2" s="4"/>
      <c r="F2" s="4"/>
      <c r="G2" s="4"/>
    </row>
    <row r="3" spans="1:7" ht="19.95" customHeight="1">
      <c r="A3" s="26" t="s">
        <v>361</v>
      </c>
      <c r="B3" s="26"/>
      <c r="C3" s="26"/>
      <c r="D3" s="26"/>
      <c r="E3" s="26"/>
      <c r="F3" s="26"/>
      <c r="G3" s="26"/>
    </row>
    <row r="5" spans="1:7" ht="28.05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15" customHeight="1">
      <c r="A6" s="8" t="s">
        <v>27</v>
      </c>
      <c r="B6" s="8" t="s">
        <v>28</v>
      </c>
      <c r="C6" s="14">
        <v>5</v>
      </c>
      <c r="D6" s="8" t="s">
        <v>29</v>
      </c>
      <c r="E6" s="8" t="s">
        <v>30</v>
      </c>
      <c r="F6" s="8" t="s">
        <v>31</v>
      </c>
      <c r="G6" s="8" t="s">
        <v>32</v>
      </c>
    </row>
    <row r="7" spans="1:7" ht="15" customHeight="1">
      <c r="A7" s="8" t="s">
        <v>27</v>
      </c>
      <c r="B7" s="8" t="s">
        <v>33</v>
      </c>
      <c r="C7" s="15">
        <v>0.03</v>
      </c>
      <c r="D7" s="8" t="s">
        <v>34</v>
      </c>
      <c r="E7" s="8" t="s">
        <v>35</v>
      </c>
      <c r="F7" s="8" t="s">
        <v>31</v>
      </c>
      <c r="G7" s="8" t="s">
        <v>36</v>
      </c>
    </row>
    <row r="8" spans="1:7" ht="15" customHeight="1">
      <c r="A8" s="8" t="s">
        <v>27</v>
      </c>
      <c r="B8" s="8" t="s">
        <v>37</v>
      </c>
      <c r="C8" s="16">
        <v>0.1341</v>
      </c>
      <c r="D8" s="8" t="s">
        <v>38</v>
      </c>
      <c r="E8" s="8" t="s">
        <v>39</v>
      </c>
      <c r="F8" s="8" t="s">
        <v>40</v>
      </c>
      <c r="G8" s="8" t="s">
        <v>41</v>
      </c>
    </row>
    <row r="9" spans="1:7" ht="15" customHeight="1">
      <c r="A9" s="8" t="s">
        <v>27</v>
      </c>
      <c r="B9" s="8" t="s">
        <v>42</v>
      </c>
      <c r="C9" s="17">
        <v>3.097</v>
      </c>
      <c r="D9" s="8" t="s">
        <v>43</v>
      </c>
      <c r="E9" s="8" t="s">
        <v>39</v>
      </c>
      <c r="F9" s="8" t="s">
        <v>44</v>
      </c>
      <c r="G9" s="8" t="s">
        <v>45</v>
      </c>
    </row>
    <row r="10" spans="1:7" ht="15" customHeight="1">
      <c r="A10" s="8" t="s">
        <v>27</v>
      </c>
      <c r="B10" s="8" t="s">
        <v>46</v>
      </c>
      <c r="C10" s="15">
        <v>0.05</v>
      </c>
      <c r="D10" s="8" t="s">
        <v>47</v>
      </c>
      <c r="E10" s="8" t="s">
        <v>30</v>
      </c>
      <c r="F10" s="8" t="s">
        <v>31</v>
      </c>
      <c r="G10" s="8" t="s">
        <v>48</v>
      </c>
    </row>
    <row r="11" spans="1:7" ht="15" customHeight="1">
      <c r="A11" s="8" t="s">
        <v>27</v>
      </c>
      <c r="B11" s="8" t="s">
        <v>49</v>
      </c>
      <c r="C11" s="14">
        <v>1000</v>
      </c>
      <c r="D11" s="8" t="s">
        <v>50</v>
      </c>
      <c r="E11" s="8" t="s">
        <v>30</v>
      </c>
      <c r="F11" s="8" t="s">
        <v>31</v>
      </c>
      <c r="G11" s="8" t="s">
        <v>48</v>
      </c>
    </row>
    <row r="12" spans="1:7" ht="15" customHeight="1">
      <c r="A12" s="8" t="s">
        <v>51</v>
      </c>
      <c r="B12" s="8" t="s">
        <v>52</v>
      </c>
      <c r="C12" s="18">
        <v>18.28</v>
      </c>
      <c r="D12" s="8" t="s">
        <v>53</v>
      </c>
      <c r="E12" s="8" t="s">
        <v>39</v>
      </c>
      <c r="F12" s="8" t="s">
        <v>54</v>
      </c>
      <c r="G12" s="8" t="s">
        <v>55</v>
      </c>
    </row>
    <row r="13" spans="1:7" ht="15" customHeight="1">
      <c r="A13" s="8" t="s">
        <v>51</v>
      </c>
      <c r="B13" s="8" t="s">
        <v>56</v>
      </c>
      <c r="C13" s="18">
        <v>20.420000000000002</v>
      </c>
      <c r="D13" s="8" t="s">
        <v>53</v>
      </c>
      <c r="E13" s="8" t="s">
        <v>39</v>
      </c>
      <c r="F13" s="8" t="s">
        <v>54</v>
      </c>
      <c r="G13" s="8" t="s">
        <v>57</v>
      </c>
    </row>
    <row r="14" spans="1:7" ht="15" customHeight="1">
      <c r="A14" s="8" t="s">
        <v>51</v>
      </c>
      <c r="B14" s="8" t="s">
        <v>58</v>
      </c>
      <c r="C14" s="18">
        <v>28.29</v>
      </c>
      <c r="D14" s="8" t="s">
        <v>53</v>
      </c>
      <c r="E14" s="8" t="s">
        <v>39</v>
      </c>
      <c r="F14" s="8" t="s">
        <v>54</v>
      </c>
      <c r="G14" s="8" t="s">
        <v>59</v>
      </c>
    </row>
    <row r="15" spans="1:7" ht="15" customHeight="1">
      <c r="A15" s="8" t="s">
        <v>51</v>
      </c>
      <c r="B15" s="8" t="s">
        <v>60</v>
      </c>
      <c r="C15" s="18">
        <v>23.63</v>
      </c>
      <c r="D15" s="8" t="s">
        <v>53</v>
      </c>
      <c r="E15" s="8" t="s">
        <v>39</v>
      </c>
      <c r="F15" s="8" t="s">
        <v>61</v>
      </c>
      <c r="G15" s="8" t="s">
        <v>62</v>
      </c>
    </row>
    <row r="16" spans="1:7" ht="15" customHeight="1">
      <c r="A16" s="8" t="s">
        <v>51</v>
      </c>
      <c r="B16" s="8" t="s">
        <v>63</v>
      </c>
      <c r="C16" s="18">
        <v>18.149999999999999</v>
      </c>
      <c r="D16" s="8" t="s">
        <v>53</v>
      </c>
      <c r="E16" s="8" t="s">
        <v>39</v>
      </c>
      <c r="F16" s="8" t="s">
        <v>61</v>
      </c>
      <c r="G16" s="8" t="s">
        <v>62</v>
      </c>
    </row>
    <row r="17" spans="1:7" ht="15" customHeight="1">
      <c r="A17" s="8" t="s">
        <v>51</v>
      </c>
      <c r="B17" s="8" t="s">
        <v>64</v>
      </c>
      <c r="C17" s="19">
        <f>C15/C16</f>
        <v>1.3019283746556474</v>
      </c>
      <c r="D17" s="8" t="s">
        <v>65</v>
      </c>
      <c r="E17" s="8" t="s">
        <v>66</v>
      </c>
      <c r="F17" s="8" t="s">
        <v>61</v>
      </c>
      <c r="G17" s="8" t="s">
        <v>67</v>
      </c>
    </row>
    <row r="18" spans="1:7" ht="15" customHeight="1">
      <c r="A18" s="8" t="s">
        <v>51</v>
      </c>
      <c r="B18" s="8" t="s">
        <v>68</v>
      </c>
      <c r="C18" s="18">
        <f>C13*C17</f>
        <v>26.585377410468322</v>
      </c>
      <c r="D18" s="8" t="s">
        <v>53</v>
      </c>
      <c r="E18" s="8" t="s">
        <v>66</v>
      </c>
      <c r="F18" s="8" t="s">
        <v>69</v>
      </c>
      <c r="G18" s="8" t="s">
        <v>70</v>
      </c>
    </row>
    <row r="19" spans="1:7" ht="15" customHeight="1">
      <c r="A19" s="8" t="s">
        <v>71</v>
      </c>
      <c r="B19" s="8" t="s">
        <v>72</v>
      </c>
      <c r="C19" s="20">
        <v>1.6093440000000001</v>
      </c>
      <c r="D19" s="8" t="s">
        <v>73</v>
      </c>
      <c r="E19" s="8" t="s">
        <v>74</v>
      </c>
      <c r="F19" s="8" t="s">
        <v>31</v>
      </c>
      <c r="G19" s="8" t="s">
        <v>75</v>
      </c>
    </row>
    <row r="20" spans="1:7" ht="15" customHeight="1">
      <c r="A20" s="8" t="s">
        <v>76</v>
      </c>
      <c r="B20" s="8" t="s">
        <v>77</v>
      </c>
      <c r="C20" s="21">
        <v>21</v>
      </c>
      <c r="D20" s="8" t="s">
        <v>78</v>
      </c>
      <c r="E20" s="8" t="s">
        <v>79</v>
      </c>
      <c r="F20" s="8" t="s">
        <v>80</v>
      </c>
      <c r="G20" s="8" t="s">
        <v>81</v>
      </c>
    </row>
    <row r="21" spans="1:7" ht="15" customHeight="1">
      <c r="A21" s="8" t="s">
        <v>76</v>
      </c>
      <c r="B21" s="8" t="s">
        <v>82</v>
      </c>
      <c r="C21" s="21">
        <f>C48</f>
        <v>7300</v>
      </c>
      <c r="D21" s="8" t="s">
        <v>83</v>
      </c>
      <c r="E21" s="8" t="s">
        <v>66</v>
      </c>
      <c r="F21" s="8" t="s">
        <v>31</v>
      </c>
      <c r="G21" s="8" t="s">
        <v>84</v>
      </c>
    </row>
    <row r="22" spans="1:7" ht="15" customHeight="1">
      <c r="A22" s="8" t="s">
        <v>76</v>
      </c>
      <c r="B22" s="8" t="s">
        <v>85</v>
      </c>
      <c r="C22" s="21">
        <f>C21/C19</f>
        <v>4536.0097033325374</v>
      </c>
      <c r="D22" s="8" t="s">
        <v>86</v>
      </c>
      <c r="E22" s="8" t="s">
        <v>66</v>
      </c>
      <c r="F22" s="8" t="s">
        <v>31</v>
      </c>
      <c r="G22" s="8" t="s">
        <v>87</v>
      </c>
    </row>
    <row r="23" spans="1:7" ht="15" customHeight="1">
      <c r="A23" s="8" t="s">
        <v>76</v>
      </c>
      <c r="B23" s="8" t="s">
        <v>88</v>
      </c>
      <c r="C23" s="9">
        <v>1833</v>
      </c>
      <c r="D23" s="8" t="s">
        <v>89</v>
      </c>
      <c r="E23" s="8" t="s">
        <v>39</v>
      </c>
      <c r="F23" s="8" t="s">
        <v>90</v>
      </c>
      <c r="G23" s="8" t="s">
        <v>91</v>
      </c>
    </row>
    <row r="24" spans="1:7" ht="15" customHeight="1">
      <c r="A24" s="8" t="s">
        <v>76</v>
      </c>
      <c r="B24" s="8" t="s">
        <v>92</v>
      </c>
      <c r="C24" s="9">
        <v>4760</v>
      </c>
      <c r="D24" s="8" t="s">
        <v>89</v>
      </c>
      <c r="E24" s="8" t="s">
        <v>39</v>
      </c>
      <c r="F24" s="8" t="s">
        <v>90</v>
      </c>
      <c r="G24" s="8" t="s">
        <v>93</v>
      </c>
    </row>
    <row r="25" spans="1:7" ht="15" customHeight="1">
      <c r="A25" s="8" t="s">
        <v>76</v>
      </c>
      <c r="B25" s="8" t="s">
        <v>94</v>
      </c>
      <c r="C25" s="9">
        <v>386</v>
      </c>
      <c r="D25" s="8" t="s">
        <v>89</v>
      </c>
      <c r="E25" s="8" t="s">
        <v>39</v>
      </c>
      <c r="F25" s="8" t="s">
        <v>90</v>
      </c>
      <c r="G25" s="8" t="s">
        <v>95</v>
      </c>
    </row>
    <row r="26" spans="1:7" ht="26.4" customHeight="1">
      <c r="A26" s="8" t="s">
        <v>76</v>
      </c>
      <c r="B26" s="8" t="s">
        <v>96</v>
      </c>
      <c r="C26" s="9">
        <f>C24-C25</f>
        <v>4374</v>
      </c>
      <c r="D26" s="8" t="s">
        <v>89</v>
      </c>
      <c r="E26" s="8" t="s">
        <v>66</v>
      </c>
      <c r="F26" s="8" t="s">
        <v>90</v>
      </c>
      <c r="G26" s="8" t="s">
        <v>97</v>
      </c>
    </row>
    <row r="27" spans="1:7">
      <c r="A27" s="8" t="s">
        <v>76</v>
      </c>
      <c r="B27" s="8" t="s">
        <v>98</v>
      </c>
      <c r="C27" s="18">
        <v>0.1179</v>
      </c>
      <c r="D27" s="8" t="s">
        <v>99</v>
      </c>
      <c r="E27" s="8" t="s">
        <v>39</v>
      </c>
      <c r="F27" s="8" t="s">
        <v>90</v>
      </c>
      <c r="G27" s="8" t="s">
        <v>91</v>
      </c>
    </row>
    <row r="28" spans="1:7" ht="27.6">
      <c r="A28" s="8" t="s">
        <v>76</v>
      </c>
      <c r="B28" s="8" t="s">
        <v>100</v>
      </c>
      <c r="C28" s="9">
        <v>835</v>
      </c>
      <c r="D28" s="8" t="s">
        <v>89</v>
      </c>
      <c r="E28" s="8" t="s">
        <v>101</v>
      </c>
      <c r="F28" s="8" t="s">
        <v>90</v>
      </c>
      <c r="G28" s="8" t="s">
        <v>102</v>
      </c>
    </row>
    <row r="29" spans="1:7" ht="27.6">
      <c r="A29" s="8" t="s">
        <v>76</v>
      </c>
      <c r="B29" s="8" t="s">
        <v>103</v>
      </c>
      <c r="C29" s="9">
        <v>1190</v>
      </c>
      <c r="D29" s="8" t="s">
        <v>89</v>
      </c>
      <c r="E29" s="8" t="s">
        <v>101</v>
      </c>
      <c r="F29" s="8" t="s">
        <v>90</v>
      </c>
      <c r="G29" s="8" t="s">
        <v>102</v>
      </c>
    </row>
    <row r="32" spans="1:7" ht="15" customHeight="1">
      <c r="A32" s="5" t="s">
        <v>104</v>
      </c>
      <c r="B32" s="5"/>
      <c r="C32" s="5"/>
      <c r="D32" s="5"/>
      <c r="E32" s="5"/>
      <c r="F32" s="5"/>
      <c r="G32" s="5"/>
    </row>
    <row r="33" spans="1:7" ht="15" customHeight="1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</row>
    <row r="34" spans="1:7" ht="15" customHeight="1">
      <c r="A34" s="8" t="s">
        <v>8</v>
      </c>
      <c r="B34" s="8" t="s">
        <v>105</v>
      </c>
      <c r="C34" s="22">
        <v>100000</v>
      </c>
      <c r="D34" s="8" t="s">
        <v>106</v>
      </c>
      <c r="E34" s="8" t="s">
        <v>107</v>
      </c>
      <c r="F34" s="8" t="s">
        <v>108</v>
      </c>
      <c r="G34" s="8" t="s">
        <v>109</v>
      </c>
    </row>
    <row r="35" spans="1:7" ht="15" customHeight="1">
      <c r="A35" s="8" t="s">
        <v>8</v>
      </c>
      <c r="B35" s="8" t="s">
        <v>110</v>
      </c>
      <c r="C35" s="15">
        <v>0.05</v>
      </c>
      <c r="D35" s="8" t="s">
        <v>111</v>
      </c>
      <c r="E35" s="8" t="s">
        <v>35</v>
      </c>
      <c r="F35" s="8" t="s">
        <v>31</v>
      </c>
      <c r="G35" s="8" t="s">
        <v>112</v>
      </c>
    </row>
    <row r="36" spans="1:7" ht="15" customHeight="1">
      <c r="A36" s="8" t="s">
        <v>8</v>
      </c>
      <c r="B36" s="8" t="s">
        <v>113</v>
      </c>
      <c r="C36" s="15">
        <v>0.2</v>
      </c>
      <c r="D36" s="8" t="s">
        <v>111</v>
      </c>
      <c r="E36" s="8" t="s">
        <v>35</v>
      </c>
      <c r="F36" s="8" t="s">
        <v>31</v>
      </c>
      <c r="G36" s="8" t="s">
        <v>114</v>
      </c>
    </row>
    <row r="37" spans="1:7" ht="15" customHeight="1">
      <c r="A37" s="8" t="s">
        <v>8</v>
      </c>
      <c r="B37" s="8" t="s">
        <v>115</v>
      </c>
      <c r="C37" s="15">
        <v>0.1</v>
      </c>
      <c r="D37" s="8" t="s">
        <v>111</v>
      </c>
      <c r="E37" s="8" t="s">
        <v>35</v>
      </c>
      <c r="F37" s="8" t="s">
        <v>31</v>
      </c>
      <c r="G37" s="8" t="s">
        <v>116</v>
      </c>
    </row>
    <row r="38" spans="1:7" ht="15" customHeight="1">
      <c r="A38" s="8" t="s">
        <v>8</v>
      </c>
      <c r="B38" s="8" t="s">
        <v>117</v>
      </c>
      <c r="C38" s="15">
        <v>0.15</v>
      </c>
      <c r="D38" s="8" t="s">
        <v>111</v>
      </c>
      <c r="E38" s="8" t="s">
        <v>35</v>
      </c>
      <c r="F38" s="8" t="s">
        <v>31</v>
      </c>
      <c r="G38" s="8" t="s">
        <v>118</v>
      </c>
    </row>
    <row r="39" spans="1:7" ht="15" customHeight="1">
      <c r="A39" s="8" t="s">
        <v>8</v>
      </c>
      <c r="B39" s="8" t="s">
        <v>119</v>
      </c>
      <c r="C39" s="15">
        <v>0.05</v>
      </c>
      <c r="D39" s="8" t="s">
        <v>111</v>
      </c>
      <c r="E39" s="8" t="s">
        <v>35</v>
      </c>
      <c r="F39" s="8" t="s">
        <v>31</v>
      </c>
      <c r="G39" s="8" t="s">
        <v>120</v>
      </c>
    </row>
    <row r="40" spans="1:7" ht="15" customHeight="1">
      <c r="A40" s="8" t="s">
        <v>8</v>
      </c>
      <c r="B40" s="8" t="s">
        <v>121</v>
      </c>
      <c r="C40" s="22">
        <v>12000</v>
      </c>
      <c r="D40" s="8" t="s">
        <v>89</v>
      </c>
      <c r="E40" s="8" t="s">
        <v>35</v>
      </c>
      <c r="F40" s="8" t="s">
        <v>31</v>
      </c>
      <c r="G40" s="8" t="s">
        <v>122</v>
      </c>
    </row>
    <row r="41" spans="1:7" ht="15" customHeight="1">
      <c r="A41" s="8" t="s">
        <v>8</v>
      </c>
      <c r="B41" s="8" t="s">
        <v>123</v>
      </c>
      <c r="C41" s="22">
        <v>1200</v>
      </c>
      <c r="D41" s="8" t="s">
        <v>89</v>
      </c>
      <c r="E41" s="8" t="s">
        <v>35</v>
      </c>
      <c r="F41" s="8" t="s">
        <v>31</v>
      </c>
      <c r="G41" s="8" t="s">
        <v>124</v>
      </c>
    </row>
    <row r="42" spans="1:7" ht="15" customHeight="1">
      <c r="A42" s="8" t="s">
        <v>8</v>
      </c>
      <c r="B42" s="8" t="s">
        <v>125</v>
      </c>
      <c r="C42" s="23">
        <v>2.25</v>
      </c>
      <c r="D42" s="8" t="s">
        <v>126</v>
      </c>
      <c r="E42" s="8" t="s">
        <v>39</v>
      </c>
      <c r="F42" s="8" t="s">
        <v>127</v>
      </c>
      <c r="G42" s="8" t="s">
        <v>128</v>
      </c>
    </row>
    <row r="43" spans="1:7" ht="15" customHeight="1">
      <c r="A43" s="8" t="s">
        <v>8</v>
      </c>
      <c r="B43" s="8" t="s">
        <v>129</v>
      </c>
      <c r="C43" s="14">
        <v>1.6</v>
      </c>
      <c r="D43" s="8" t="s">
        <v>130</v>
      </c>
      <c r="E43" s="8" t="s">
        <v>131</v>
      </c>
      <c r="F43" s="8" t="s">
        <v>132</v>
      </c>
      <c r="G43" s="8" t="s">
        <v>133</v>
      </c>
    </row>
    <row r="44" spans="1:7" ht="15" customHeight="1">
      <c r="A44" s="8" t="s">
        <v>8</v>
      </c>
      <c r="B44" s="8" t="s">
        <v>134</v>
      </c>
      <c r="C44" s="15">
        <v>0.9</v>
      </c>
      <c r="D44" s="8" t="s">
        <v>135</v>
      </c>
      <c r="E44" s="8" t="s">
        <v>35</v>
      </c>
      <c r="F44" s="8" t="s">
        <v>31</v>
      </c>
      <c r="G44" s="8" t="s">
        <v>136</v>
      </c>
    </row>
    <row r="45" spans="1:7" ht="15" customHeight="1">
      <c r="A45" s="8" t="s">
        <v>8</v>
      </c>
      <c r="B45" s="8" t="s">
        <v>137</v>
      </c>
      <c r="C45" s="23">
        <f>C42*C43/C44</f>
        <v>4</v>
      </c>
      <c r="D45" s="8" t="s">
        <v>138</v>
      </c>
      <c r="E45" s="8" t="s">
        <v>66</v>
      </c>
      <c r="F45" s="8" t="s">
        <v>132</v>
      </c>
      <c r="G45" s="8" t="s">
        <v>139</v>
      </c>
    </row>
    <row r="46" spans="1:7" ht="15" customHeight="1">
      <c r="A46" s="8" t="s">
        <v>8</v>
      </c>
      <c r="B46" s="8" t="s">
        <v>140</v>
      </c>
      <c r="C46" s="24">
        <v>365</v>
      </c>
      <c r="D46" s="8" t="s">
        <v>141</v>
      </c>
      <c r="E46" s="8" t="s">
        <v>35</v>
      </c>
      <c r="F46" s="8" t="s">
        <v>31</v>
      </c>
      <c r="G46" s="8" t="s">
        <v>142</v>
      </c>
    </row>
    <row r="47" spans="1:7" ht="15" customHeight="1">
      <c r="A47" s="8" t="s">
        <v>8</v>
      </c>
      <c r="B47" s="8" t="s">
        <v>143</v>
      </c>
      <c r="C47" s="24">
        <v>20</v>
      </c>
      <c r="D47" s="8" t="s">
        <v>144</v>
      </c>
      <c r="E47" s="8" t="s">
        <v>35</v>
      </c>
      <c r="F47" s="8" t="s">
        <v>132</v>
      </c>
      <c r="G47" s="8" t="s">
        <v>145</v>
      </c>
    </row>
    <row r="48" spans="1:7" ht="15" customHeight="1">
      <c r="A48" s="8" t="s">
        <v>8</v>
      </c>
      <c r="B48" s="8" t="s">
        <v>82</v>
      </c>
      <c r="C48" s="21">
        <f>C46*C47</f>
        <v>7300</v>
      </c>
      <c r="D48" s="8" t="s">
        <v>83</v>
      </c>
      <c r="E48" s="8" t="s">
        <v>66</v>
      </c>
      <c r="F48" s="8" t="s">
        <v>31</v>
      </c>
      <c r="G48" s="8" t="s">
        <v>146</v>
      </c>
    </row>
    <row r="49" spans="1:7" ht="15" customHeight="1">
      <c r="A49" s="8" t="s">
        <v>8</v>
      </c>
      <c r="B49" s="8" t="s">
        <v>147</v>
      </c>
      <c r="C49" s="15">
        <v>0.15</v>
      </c>
      <c r="D49" s="8" t="s">
        <v>111</v>
      </c>
      <c r="E49" s="8" t="s">
        <v>35</v>
      </c>
      <c r="F49" s="8" t="s">
        <v>31</v>
      </c>
      <c r="G49" s="8" t="s">
        <v>148</v>
      </c>
    </row>
    <row r="50" spans="1:7" ht="15" customHeight="1">
      <c r="A50" s="8" t="s">
        <v>8</v>
      </c>
      <c r="B50" s="8" t="s">
        <v>149</v>
      </c>
      <c r="C50" s="24">
        <v>1</v>
      </c>
      <c r="D50" s="8" t="s">
        <v>150</v>
      </c>
      <c r="E50" s="8" t="s">
        <v>35</v>
      </c>
      <c r="F50" s="8" t="s">
        <v>31</v>
      </c>
      <c r="G50" s="8" t="s">
        <v>151</v>
      </c>
    </row>
    <row r="51" spans="1:7" ht="15" customHeight="1">
      <c r="A51" s="8" t="s">
        <v>8</v>
      </c>
      <c r="B51" s="8" t="s">
        <v>152</v>
      </c>
      <c r="C51" s="15">
        <v>0.05</v>
      </c>
      <c r="D51" s="8" t="s">
        <v>153</v>
      </c>
      <c r="E51" s="8" t="s">
        <v>35</v>
      </c>
      <c r="F51" s="8" t="s">
        <v>31</v>
      </c>
      <c r="G51" s="8" t="s">
        <v>154</v>
      </c>
    </row>
    <row r="52" spans="1:7" ht="15" customHeight="1">
      <c r="A52" s="8" t="s">
        <v>8</v>
      </c>
      <c r="B52" s="8" t="s">
        <v>155</v>
      </c>
      <c r="C52" s="15">
        <v>0.1</v>
      </c>
      <c r="D52" s="8" t="s">
        <v>111</v>
      </c>
      <c r="E52" s="8" t="s">
        <v>35</v>
      </c>
      <c r="F52" s="8" t="s">
        <v>31</v>
      </c>
      <c r="G52" s="8" t="s">
        <v>156</v>
      </c>
    </row>
    <row r="53" spans="1:7" ht="15" customHeight="1">
      <c r="A53" s="8" t="s">
        <v>17</v>
      </c>
      <c r="B53" s="8" t="s">
        <v>157</v>
      </c>
      <c r="C53" s="24">
        <v>8</v>
      </c>
      <c r="D53" s="8" t="s">
        <v>150</v>
      </c>
      <c r="E53" s="8" t="s">
        <v>35</v>
      </c>
      <c r="F53" s="8" t="s">
        <v>31</v>
      </c>
      <c r="G53" s="8" t="s">
        <v>158</v>
      </c>
    </row>
    <row r="55" spans="1:7" ht="15" customHeight="1">
      <c r="A55" s="5" t="s">
        <v>159</v>
      </c>
      <c r="B55" s="5"/>
      <c r="C55" s="5"/>
      <c r="D55" s="5"/>
      <c r="E55" s="5"/>
      <c r="F55" s="5"/>
      <c r="G55" s="5"/>
    </row>
    <row r="56" spans="1:7" ht="15" customHeight="1">
      <c r="A56" s="1" t="s">
        <v>20</v>
      </c>
      <c r="B56" s="1" t="s">
        <v>21</v>
      </c>
      <c r="C56" s="1" t="s">
        <v>22</v>
      </c>
      <c r="D56" s="1" t="s">
        <v>23</v>
      </c>
      <c r="E56" s="1" t="s">
        <v>24</v>
      </c>
      <c r="F56" s="1" t="s">
        <v>25</v>
      </c>
      <c r="G56" s="1" t="s">
        <v>26</v>
      </c>
    </row>
    <row r="57" spans="1:7" ht="15" customHeight="1">
      <c r="A57" s="8" t="s">
        <v>160</v>
      </c>
      <c r="B57" s="8" t="s">
        <v>161</v>
      </c>
      <c r="C57" s="22">
        <v>62500</v>
      </c>
      <c r="D57" s="8" t="s">
        <v>106</v>
      </c>
      <c r="E57" s="8" t="s">
        <v>35</v>
      </c>
      <c r="F57" s="8" t="s">
        <v>162</v>
      </c>
      <c r="G57" s="8" t="s">
        <v>163</v>
      </c>
    </row>
    <row r="58" spans="1:7" ht="15" customHeight="1">
      <c r="A58" s="8" t="s">
        <v>160</v>
      </c>
      <c r="B58" s="8" t="s">
        <v>110</v>
      </c>
      <c r="C58" s="15">
        <v>0.05</v>
      </c>
      <c r="D58" s="8" t="s">
        <v>111</v>
      </c>
      <c r="E58" s="8" t="s">
        <v>35</v>
      </c>
      <c r="F58" s="8" t="s">
        <v>31</v>
      </c>
      <c r="G58" s="8" t="s">
        <v>112</v>
      </c>
    </row>
    <row r="59" spans="1:7" ht="15" customHeight="1">
      <c r="A59" s="8" t="s">
        <v>160</v>
      </c>
      <c r="B59" s="8" t="s">
        <v>164</v>
      </c>
      <c r="C59" s="15">
        <v>0.16</v>
      </c>
      <c r="D59" s="8" t="s">
        <v>111</v>
      </c>
      <c r="E59" s="8" t="s">
        <v>35</v>
      </c>
      <c r="F59" s="8" t="s">
        <v>31</v>
      </c>
      <c r="G59" s="8" t="s">
        <v>165</v>
      </c>
    </row>
    <row r="60" spans="1:7" ht="15" customHeight="1">
      <c r="A60" s="8" t="s">
        <v>160</v>
      </c>
      <c r="B60" s="8" t="s">
        <v>115</v>
      </c>
      <c r="C60" s="15">
        <v>0.08</v>
      </c>
      <c r="D60" s="8" t="s">
        <v>111</v>
      </c>
      <c r="E60" s="8" t="s">
        <v>35</v>
      </c>
      <c r="F60" s="8" t="s">
        <v>31</v>
      </c>
      <c r="G60" s="8" t="s">
        <v>166</v>
      </c>
    </row>
    <row r="61" spans="1:7" ht="15" customHeight="1">
      <c r="A61" s="8" t="s">
        <v>160</v>
      </c>
      <c r="B61" s="8" t="s">
        <v>117</v>
      </c>
      <c r="C61" s="15">
        <v>0.2</v>
      </c>
      <c r="D61" s="8" t="s">
        <v>111</v>
      </c>
      <c r="E61" s="8" t="s">
        <v>35</v>
      </c>
      <c r="F61" s="8" t="s">
        <v>31</v>
      </c>
      <c r="G61" s="8" t="s">
        <v>167</v>
      </c>
    </row>
    <row r="62" spans="1:7" ht="15" customHeight="1">
      <c r="A62" s="8" t="s">
        <v>160</v>
      </c>
      <c r="B62" s="8" t="s">
        <v>119</v>
      </c>
      <c r="C62" s="15">
        <v>0.08</v>
      </c>
      <c r="D62" s="8" t="s">
        <v>111</v>
      </c>
      <c r="E62" s="8" t="s">
        <v>35</v>
      </c>
      <c r="F62" s="8" t="s">
        <v>31</v>
      </c>
      <c r="G62" s="8" t="s">
        <v>166</v>
      </c>
    </row>
    <row r="63" spans="1:7" ht="15" customHeight="1">
      <c r="A63" s="8" t="s">
        <v>160</v>
      </c>
      <c r="B63" s="8" t="s">
        <v>168</v>
      </c>
      <c r="C63" s="22">
        <v>12500</v>
      </c>
      <c r="D63" s="8" t="s">
        <v>89</v>
      </c>
      <c r="E63" s="8" t="s">
        <v>35</v>
      </c>
      <c r="F63" s="8" t="s">
        <v>169</v>
      </c>
      <c r="G63" s="8" t="s">
        <v>170</v>
      </c>
    </row>
    <row r="64" spans="1:7" ht="15" customHeight="1">
      <c r="A64" s="8" t="s">
        <v>160</v>
      </c>
      <c r="B64" s="8" t="s">
        <v>137</v>
      </c>
      <c r="C64" s="25">
        <v>3</v>
      </c>
      <c r="D64" s="8" t="s">
        <v>138</v>
      </c>
      <c r="E64" s="8" t="s">
        <v>35</v>
      </c>
      <c r="F64" s="8" t="s">
        <v>31</v>
      </c>
      <c r="G64" s="8" t="s">
        <v>171</v>
      </c>
    </row>
    <row r="65" spans="1:7" ht="15" customHeight="1">
      <c r="A65" s="8" t="s">
        <v>160</v>
      </c>
      <c r="B65" s="8" t="s">
        <v>140</v>
      </c>
      <c r="C65" s="25">
        <v>365</v>
      </c>
      <c r="D65" s="8" t="s">
        <v>141</v>
      </c>
      <c r="E65" s="8" t="s">
        <v>30</v>
      </c>
      <c r="F65" s="8" t="s">
        <v>31</v>
      </c>
      <c r="G65" s="8" t="s">
        <v>172</v>
      </c>
    </row>
    <row r="66" spans="1:7" ht="15" customHeight="1">
      <c r="A66" s="8" t="s">
        <v>160</v>
      </c>
      <c r="B66" s="8" t="s">
        <v>173</v>
      </c>
      <c r="C66" s="15">
        <v>0.25</v>
      </c>
      <c r="D66" s="8" t="s">
        <v>174</v>
      </c>
      <c r="E66" s="8" t="s">
        <v>35</v>
      </c>
      <c r="F66" s="8" t="s">
        <v>31</v>
      </c>
      <c r="G66" s="8" t="s">
        <v>175</v>
      </c>
    </row>
    <row r="67" spans="1:7" ht="15" customHeight="1">
      <c r="A67" s="8" t="s">
        <v>160</v>
      </c>
      <c r="B67" s="8" t="s">
        <v>152</v>
      </c>
      <c r="C67" s="15">
        <v>0.02</v>
      </c>
      <c r="D67" s="8" t="s">
        <v>174</v>
      </c>
      <c r="E67" s="8" t="s">
        <v>35</v>
      </c>
      <c r="F67" s="8" t="s">
        <v>31</v>
      </c>
      <c r="G67" s="8" t="s">
        <v>176</v>
      </c>
    </row>
    <row r="68" spans="1:7" ht="15" customHeight="1">
      <c r="A68" s="8" t="s">
        <v>160</v>
      </c>
      <c r="B68" s="8" t="s">
        <v>155</v>
      </c>
      <c r="C68" s="15">
        <v>0.1</v>
      </c>
      <c r="D68" s="8" t="s">
        <v>111</v>
      </c>
      <c r="E68" s="8" t="s">
        <v>35</v>
      </c>
      <c r="F68" s="8" t="s">
        <v>31</v>
      </c>
      <c r="G68" s="8" t="s">
        <v>156</v>
      </c>
    </row>
    <row r="69" spans="1:7" ht="15" customHeight="1">
      <c r="A69" s="8" t="s">
        <v>18</v>
      </c>
      <c r="B69" s="8" t="s">
        <v>157</v>
      </c>
      <c r="C69" s="25">
        <v>24</v>
      </c>
      <c r="D69" s="8" t="s">
        <v>150</v>
      </c>
      <c r="E69" s="8" t="s">
        <v>35</v>
      </c>
      <c r="F69" s="8" t="s">
        <v>31</v>
      </c>
      <c r="G69" s="8" t="s">
        <v>177</v>
      </c>
    </row>
    <row r="70" spans="1:7" ht="15" customHeight="1">
      <c r="A70" s="8" t="s">
        <v>160</v>
      </c>
      <c r="B70" s="8" t="s">
        <v>178</v>
      </c>
      <c r="C70" s="22">
        <v>0</v>
      </c>
      <c r="D70" s="8" t="s">
        <v>106</v>
      </c>
      <c r="E70" s="8" t="s">
        <v>179</v>
      </c>
      <c r="F70" s="8" t="s">
        <v>31</v>
      </c>
      <c r="G70" s="8" t="s">
        <v>180</v>
      </c>
    </row>
  </sheetData>
  <mergeCells count="4">
    <mergeCell ref="A3:G3"/>
    <mergeCell ref="A32:G32"/>
    <mergeCell ref="A55:G55"/>
    <mergeCell ref="A1:G2"/>
  </mergeCells>
  <phoneticPr fontId="5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20" workbookViewId="0">
      <selection activeCell="J18" sqref="J18"/>
    </sheetView>
  </sheetViews>
  <sheetFormatPr defaultRowHeight="13.8"/>
  <cols>
    <col min="1" max="1" width="37" customWidth="1"/>
    <col min="2" max="6" width="17" customWidth="1"/>
  </cols>
  <sheetData>
    <row r="1" spans="1:6" ht="27" customHeight="1">
      <c r="A1" s="4" t="s">
        <v>181</v>
      </c>
      <c r="B1" s="4"/>
      <c r="C1" s="4"/>
      <c r="D1" s="4"/>
      <c r="E1" s="4"/>
      <c r="F1" s="4"/>
    </row>
    <row r="2" spans="1:6" ht="2.4" customHeight="1">
      <c r="A2" s="4"/>
      <c r="B2" s="4"/>
      <c r="C2" s="4"/>
      <c r="D2" s="4"/>
      <c r="E2" s="4"/>
      <c r="F2" s="4"/>
    </row>
    <row r="3" spans="1:6" hidden="1">
      <c r="A3" s="27"/>
      <c r="B3" s="27"/>
      <c r="C3" s="27"/>
      <c r="D3" s="27"/>
      <c r="E3" s="27"/>
      <c r="F3" s="27"/>
    </row>
    <row r="4" spans="1:6" ht="28.05" customHeight="1">
      <c r="A4" s="1" t="s">
        <v>182</v>
      </c>
      <c r="B4" s="2">
        <v>1</v>
      </c>
      <c r="C4" s="2">
        <v>2</v>
      </c>
      <c r="D4" s="2">
        <v>3</v>
      </c>
      <c r="E4" s="2">
        <v>4</v>
      </c>
      <c r="F4" s="2">
        <v>5</v>
      </c>
    </row>
    <row r="5" spans="1:6" ht="22.05" customHeight="1">
      <c r="A5" s="28" t="s">
        <v>8</v>
      </c>
      <c r="B5" s="29"/>
      <c r="C5" s="29"/>
      <c r="D5" s="29"/>
      <c r="E5" s="29"/>
      <c r="F5" s="30"/>
    </row>
    <row r="6" spans="1:6" ht="15" customHeight="1">
      <c r="A6" s="8" t="s">
        <v>183</v>
      </c>
      <c r="B6" s="9">
        <f>IF(B$4=1,Assumptions!$C$34,0)</f>
        <v>100000</v>
      </c>
      <c r="C6" s="9">
        <f>IF(C$4=1,Assumptions!$C$34,0)</f>
        <v>0</v>
      </c>
      <c r="D6" s="9">
        <f>IF(D$4=1,Assumptions!$C$34,0)</f>
        <v>0</v>
      </c>
      <c r="E6" s="9">
        <f>IF(E$4=1,Assumptions!$C$34,0)</f>
        <v>0</v>
      </c>
      <c r="F6" s="9">
        <f>IF(F$4=1,Assumptions!$C$34,0)</f>
        <v>0</v>
      </c>
    </row>
    <row r="7" spans="1:6" ht="15" customHeight="1">
      <c r="A7" s="8" t="s">
        <v>110</v>
      </c>
      <c r="B7" s="9">
        <f>IF(B$4=1,Assumptions!$C$34*Assumptions!$C$35,0)</f>
        <v>5000</v>
      </c>
      <c r="C7" s="9">
        <f>IF(C$4=1,Assumptions!$C$34*Assumptions!$C$35,0)</f>
        <v>0</v>
      </c>
      <c r="D7" s="9">
        <f>IF(D$4=1,Assumptions!$C$34*Assumptions!$C$35,0)</f>
        <v>0</v>
      </c>
      <c r="E7" s="9">
        <f>IF(E$4=1,Assumptions!$C$34*Assumptions!$C$35,0)</f>
        <v>0</v>
      </c>
      <c r="F7" s="9">
        <f>IF(F$4=1,Assumptions!$C$34*Assumptions!$C$35,0)</f>
        <v>0</v>
      </c>
    </row>
    <row r="8" spans="1:6" ht="15" customHeight="1">
      <c r="A8" s="8" t="s">
        <v>113</v>
      </c>
      <c r="B8" s="9">
        <f>IF(B$4=1,Assumptions!$C$34*Assumptions!$C$36,0)</f>
        <v>20000</v>
      </c>
      <c r="C8" s="9">
        <f>IF(C$4=1,Assumptions!$C$34*Assumptions!$C$36,0)</f>
        <v>0</v>
      </c>
      <c r="D8" s="9">
        <f>IF(D$4=1,Assumptions!$C$34*Assumptions!$C$36,0)</f>
        <v>0</v>
      </c>
      <c r="E8" s="9">
        <f>IF(E$4=1,Assumptions!$C$34*Assumptions!$C$36,0)</f>
        <v>0</v>
      </c>
      <c r="F8" s="9">
        <f>IF(F$4=1,Assumptions!$C$34*Assumptions!$C$36,0)</f>
        <v>0</v>
      </c>
    </row>
    <row r="9" spans="1:6" ht="15" customHeight="1">
      <c r="A9" s="8" t="s">
        <v>115</v>
      </c>
      <c r="B9" s="9">
        <f>IF(B$4=1,Assumptions!$C$34*Assumptions!$C$37,0)</f>
        <v>10000</v>
      </c>
      <c r="C9" s="9">
        <f>IF(C$4=1,Assumptions!$C$34*Assumptions!$C$37,0)</f>
        <v>0</v>
      </c>
      <c r="D9" s="9">
        <f>IF(D$4=1,Assumptions!$C$34*Assumptions!$C$37,0)</f>
        <v>0</v>
      </c>
      <c r="E9" s="9">
        <f>IF(E$4=1,Assumptions!$C$34*Assumptions!$C$37,0)</f>
        <v>0</v>
      </c>
      <c r="F9" s="9">
        <f>IF(F$4=1,Assumptions!$C$34*Assumptions!$C$37,0)</f>
        <v>0</v>
      </c>
    </row>
    <row r="10" spans="1:6" ht="15" customHeight="1">
      <c r="A10" s="8" t="s">
        <v>117</v>
      </c>
      <c r="B10" s="9">
        <f>IF(B$4=1,Assumptions!$C$34*Assumptions!$C$38,0)</f>
        <v>15000</v>
      </c>
      <c r="C10" s="9">
        <f>IF(C$4=1,Assumptions!$C$34*Assumptions!$C$38,0)</f>
        <v>0</v>
      </c>
      <c r="D10" s="9">
        <f>IF(D$4=1,Assumptions!$C$34*Assumptions!$C$38,0)</f>
        <v>0</v>
      </c>
      <c r="E10" s="9">
        <f>IF(E$4=1,Assumptions!$C$34*Assumptions!$C$38,0)</f>
        <v>0</v>
      </c>
      <c r="F10" s="9">
        <f>IF(F$4=1,Assumptions!$C$34*Assumptions!$C$38,0)</f>
        <v>0</v>
      </c>
    </row>
    <row r="11" spans="1:6" ht="15" customHeight="1">
      <c r="A11" s="8" t="s">
        <v>119</v>
      </c>
      <c r="B11" s="9">
        <f>IF(B$4=1,Assumptions!$C$34*Assumptions!$C$39,0)</f>
        <v>5000</v>
      </c>
      <c r="C11" s="9">
        <f>IF(C$4=1,Assumptions!$C$34*Assumptions!$C$39,0)</f>
        <v>0</v>
      </c>
      <c r="D11" s="9">
        <f>IF(D$4=1,Assumptions!$C$34*Assumptions!$C$39,0)</f>
        <v>0</v>
      </c>
      <c r="E11" s="9">
        <f>IF(E$4=1,Assumptions!$C$34*Assumptions!$C$39,0)</f>
        <v>0</v>
      </c>
      <c r="F11" s="9">
        <f>IF(F$4=1,Assumptions!$C$34*Assumptions!$C$39,0)</f>
        <v>0</v>
      </c>
    </row>
    <row r="12" spans="1:6" ht="15" customHeight="1">
      <c r="A12" s="8" t="s">
        <v>121</v>
      </c>
      <c r="B12" s="9">
        <f>Assumptions!$C$40*(1+Assumptions!$C$7)^(B$4-1)</f>
        <v>12000</v>
      </c>
      <c r="C12" s="9">
        <f>Assumptions!$C$40*(1+Assumptions!$C$7)^(C$4-1)</f>
        <v>12360</v>
      </c>
      <c r="D12" s="9">
        <f>Assumptions!$C$40*(1+Assumptions!$C$7)^(D$4-1)</f>
        <v>12730.8</v>
      </c>
      <c r="E12" s="9">
        <f>Assumptions!$C$40*(1+Assumptions!$C$7)^(E$4-1)</f>
        <v>13112.724</v>
      </c>
      <c r="F12" s="9">
        <f>Assumptions!$C$40*(1+Assumptions!$C$7)^(F$4-1)</f>
        <v>13506.10572</v>
      </c>
    </row>
    <row r="13" spans="1:6" ht="15" customHeight="1">
      <c r="A13" s="8" t="s">
        <v>123</v>
      </c>
      <c r="B13" s="9">
        <f>Assumptions!$C$41*(1+Assumptions!$C$7)^(B$4-1)</f>
        <v>1200</v>
      </c>
      <c r="C13" s="9">
        <f>Assumptions!$C$41*(1+Assumptions!$C$7)^(C$4-1)</f>
        <v>1236</v>
      </c>
      <c r="D13" s="9">
        <f>Assumptions!$C$41*(1+Assumptions!$C$7)^(D$4-1)</f>
        <v>1273.08</v>
      </c>
      <c r="E13" s="9">
        <f>Assumptions!$C$41*(1+Assumptions!$C$7)^(E$4-1)</f>
        <v>1311.2724000000001</v>
      </c>
      <c r="F13" s="9">
        <f>Assumptions!$C$41*(1+Assumptions!$C$7)^(F$4-1)</f>
        <v>1350.6105719999998</v>
      </c>
    </row>
    <row r="14" spans="1:6" ht="15" customHeight="1">
      <c r="A14" s="8" t="s">
        <v>184</v>
      </c>
      <c r="B14" s="9">
        <f>Assumptions!$C$45*Assumptions!$C$46*Assumptions!$C$8*(1+Assumptions!$C$7)^(B$4-1)</f>
        <v>195.786</v>
      </c>
      <c r="C14" s="9">
        <f>Assumptions!$C$45*Assumptions!$C$46*Assumptions!$C$8*(1+Assumptions!$C$7)^(C$4-1)</f>
        <v>201.65958000000001</v>
      </c>
      <c r="D14" s="9">
        <f>Assumptions!$C$45*Assumptions!$C$46*Assumptions!$C$8*(1+Assumptions!$C$7)^(D$4-1)</f>
        <v>207.70936739999999</v>
      </c>
      <c r="E14" s="9">
        <f>Assumptions!$C$45*Assumptions!$C$46*Assumptions!$C$8*(1+Assumptions!$C$7)^(E$4-1)</f>
        <v>213.94064842200001</v>
      </c>
      <c r="F14" s="9">
        <f>Assumptions!$C$45*Assumptions!$C$46*Assumptions!$C$8*(1+Assumptions!$C$7)^(F$4-1)</f>
        <v>220.35886787465998</v>
      </c>
    </row>
    <row r="15" spans="1:6" ht="15" customHeight="1">
      <c r="A15" s="8" t="s">
        <v>98</v>
      </c>
      <c r="B15" s="9">
        <f>Assumptions!$C$34*Assumptions!$C$10*(1+Assumptions!$C$7)^(B$4-1)</f>
        <v>5000</v>
      </c>
      <c r="C15" s="9">
        <f>Assumptions!$C$34*Assumptions!$C$10*(1+Assumptions!$C$7)^(C$4-1)</f>
        <v>5150</v>
      </c>
      <c r="D15" s="9">
        <f>Assumptions!$C$34*Assumptions!$C$10*(1+Assumptions!$C$7)^(D$4-1)</f>
        <v>5304.5</v>
      </c>
      <c r="E15" s="9">
        <f>Assumptions!$C$34*Assumptions!$C$10*(1+Assumptions!$C$7)^(E$4-1)</f>
        <v>5463.6350000000002</v>
      </c>
      <c r="F15" s="9">
        <f>Assumptions!$C$34*Assumptions!$C$10*(1+Assumptions!$C$7)^(F$4-1)</f>
        <v>5627.5440499999995</v>
      </c>
    </row>
    <row r="16" spans="1:6" ht="15" customHeight="1">
      <c r="A16" s="8" t="s">
        <v>178</v>
      </c>
      <c r="B16" s="9">
        <f>IF(INT(B$4*Assumptions!$C$46*Assumptions!$C$43/Assumptions!$C$11)&gt;INT((B$4-1)*Assumptions!$C$46*Assumptions!$C$43/Assumptions!$C$11),Assumptions!$C$34*Assumptions!$C$49*(1+Assumptions!$C$7)^(B$4-1),0)</f>
        <v>0</v>
      </c>
      <c r="C16" s="9">
        <f>IF(INT(C$4*Assumptions!$C$46*Assumptions!$C$43/Assumptions!$C$11)&gt;INT((C$4-1)*Assumptions!$C$46*Assumptions!$C$43/Assumptions!$C$11),Assumptions!$C$34*Assumptions!$C$49*(1+Assumptions!$C$7)^(C$4-1),0)</f>
        <v>15450</v>
      </c>
      <c r="D16" s="9">
        <f>IF(INT(D$4*Assumptions!$C$46*Assumptions!$C$43/Assumptions!$C$11)&gt;INT((D$4-1)*Assumptions!$C$46*Assumptions!$C$43/Assumptions!$C$11),Assumptions!$C$34*Assumptions!$C$49*(1+Assumptions!$C$7)^(D$4-1),0)</f>
        <v>0</v>
      </c>
      <c r="E16" s="9">
        <f>IF(INT(E$4*Assumptions!$C$46*Assumptions!$C$43/Assumptions!$C$11)&gt;INT((E$4-1)*Assumptions!$C$46*Assumptions!$C$43/Assumptions!$C$11),Assumptions!$C$34*Assumptions!$C$49*(1+Assumptions!$C$7)^(E$4-1),0)</f>
        <v>16390.904999999999</v>
      </c>
      <c r="F16" s="9">
        <f>IF(INT(F$4*Assumptions!$C$46*Assumptions!$C$43/Assumptions!$C$11)&gt;INT((F$4-1)*Assumptions!$C$46*Assumptions!$C$43/Assumptions!$C$11),Assumptions!$C$34*Assumptions!$C$49*(1+Assumptions!$C$7)^(F$4-1),0)</f>
        <v>0</v>
      </c>
    </row>
    <row r="17" spans="1:6" ht="15" customHeight="1">
      <c r="A17" s="8" t="s">
        <v>149</v>
      </c>
      <c r="B17" s="9">
        <f>Assumptions!$C$50*Assumptions!$C$46*Assumptions!$C$18*(1+Assumptions!$C$7)^(B$4-1)</f>
        <v>9703.6627548209381</v>
      </c>
      <c r="C17" s="9">
        <f>Assumptions!$C$50*Assumptions!$C$46*Assumptions!$C$18*(1+Assumptions!$C$7)^(C$4-1)</f>
        <v>9994.7726374655667</v>
      </c>
      <c r="D17" s="9">
        <f>Assumptions!$C$50*Assumptions!$C$46*Assumptions!$C$18*(1+Assumptions!$C$7)^(D$4-1)</f>
        <v>10294.615816589532</v>
      </c>
      <c r="E17" s="9">
        <f>Assumptions!$C$50*Assumptions!$C$46*Assumptions!$C$18*(1+Assumptions!$C$7)^(E$4-1)</f>
        <v>10603.454291087219</v>
      </c>
      <c r="F17" s="9">
        <f>Assumptions!$C$50*Assumptions!$C$46*Assumptions!$C$18*(1+Assumptions!$C$7)^(F$4-1)</f>
        <v>10921.557919819836</v>
      </c>
    </row>
    <row r="18" spans="1:6" ht="15" customHeight="1">
      <c r="A18" s="8" t="s">
        <v>185</v>
      </c>
      <c r="B18" s="9">
        <f>Assumptions!$C$53*Assumptions!$C$46*Assumptions!$C$51*Assumptions!$C$18*(1+Assumptions!$C$7)^(B$4-1)</f>
        <v>3881.4651019283751</v>
      </c>
      <c r="C18" s="9">
        <f>Assumptions!$C$53*Assumptions!$C$46*Assumptions!$C$51*Assumptions!$C$18*(1+Assumptions!$C$7)^(C$4-1)</f>
        <v>3997.9090549862267</v>
      </c>
      <c r="D18" s="9">
        <f>Assumptions!$C$53*Assumptions!$C$46*Assumptions!$C$51*Assumptions!$C$18*(1+Assumptions!$C$7)^(D$4-1)</f>
        <v>4117.8463266358131</v>
      </c>
      <c r="E18" s="9">
        <f>Assumptions!$C$53*Assumptions!$C$46*Assumptions!$C$51*Assumptions!$C$18*(1+Assumptions!$C$7)^(E$4-1)</f>
        <v>4241.3817164348875</v>
      </c>
      <c r="F18" s="9">
        <f>Assumptions!$C$53*Assumptions!$C$46*Assumptions!$C$51*Assumptions!$C$18*(1+Assumptions!$C$7)^(F$4-1)</f>
        <v>4368.6231679279335</v>
      </c>
    </row>
    <row r="19" spans="1:6" ht="15" customHeight="1">
      <c r="A19" s="8" t="s">
        <v>155</v>
      </c>
      <c r="B19" s="9">
        <f>IF(B$4=Assumptions!$C$6,-Assumptions!$C$34*Assumptions!$C$52,0)</f>
        <v>0</v>
      </c>
      <c r="C19" s="9">
        <f>IF(C$4=Assumptions!$C$6,-Assumptions!$C$34*Assumptions!$C$52,0)</f>
        <v>0</v>
      </c>
      <c r="D19" s="9">
        <f>IF(D$4=Assumptions!$C$6,-Assumptions!$C$34*Assumptions!$C$52,0)</f>
        <v>0</v>
      </c>
      <c r="E19" s="9">
        <f>IF(E$4=Assumptions!$C$6,-Assumptions!$C$34*Assumptions!$C$52,0)</f>
        <v>0</v>
      </c>
      <c r="F19" s="9">
        <f>IF(F$4=Assumptions!$C$6,-Assumptions!$C$34*Assumptions!$C$52,0)</f>
        <v>-10000</v>
      </c>
    </row>
    <row r="20" spans="1:6" ht="15" customHeight="1">
      <c r="A20" s="31" t="s">
        <v>186</v>
      </c>
      <c r="B20" s="32">
        <f>SUM(B6:B19)</f>
        <v>186980.91385674931</v>
      </c>
      <c r="C20" s="32">
        <f>SUM(C6:C19)</f>
        <v>48390.341272451798</v>
      </c>
      <c r="D20" s="32">
        <f>SUM(D6:D19)</f>
        <v>33928.551510625344</v>
      </c>
      <c r="E20" s="32">
        <f>SUM(E6:E19)</f>
        <v>51337.313055944105</v>
      </c>
      <c r="F20" s="32">
        <f>SUM(F6:F19)</f>
        <v>25994.800297622423</v>
      </c>
    </row>
    <row r="21" spans="1:6" ht="15" customHeight="1">
      <c r="A21" s="33"/>
      <c r="B21" s="34"/>
      <c r="C21" s="34"/>
      <c r="D21" s="34"/>
      <c r="E21" s="34"/>
      <c r="F21" s="34"/>
    </row>
    <row r="22" spans="1:6" ht="15" customHeight="1">
      <c r="A22" s="28" t="s">
        <v>187</v>
      </c>
      <c r="B22" s="29"/>
      <c r="C22" s="29"/>
      <c r="D22" s="29"/>
      <c r="E22" s="29"/>
      <c r="F22" s="30"/>
    </row>
    <row r="23" spans="1:6" ht="15" customHeight="1">
      <c r="A23" s="8" t="s">
        <v>188</v>
      </c>
      <c r="B23" s="9">
        <f>Assumptions!$C$53*Assumptions!$C$46*Assumptions!$C$18*(1+Assumptions!$C$7)^(B$4-1)</f>
        <v>77629.302038567504</v>
      </c>
      <c r="C23" s="9">
        <f>Assumptions!$C$53*Assumptions!$C$46*Assumptions!$C$18*(1+Assumptions!$C$7)^(C$4-1)</f>
        <v>79958.181099724534</v>
      </c>
      <c r="D23" s="9">
        <f>Assumptions!$C$53*Assumptions!$C$46*Assumptions!$C$18*(1+Assumptions!$C$7)^(D$4-1)</f>
        <v>82356.926532716257</v>
      </c>
      <c r="E23" s="9">
        <f>Assumptions!$C$53*Assumptions!$C$46*Assumptions!$C$18*(1+Assumptions!$C$7)^(E$4-1)</f>
        <v>84827.63432869775</v>
      </c>
      <c r="F23" s="9">
        <f>Assumptions!$C$53*Assumptions!$C$46*Assumptions!$C$18*(1+Assumptions!$C$7)^(F$4-1)</f>
        <v>87372.463358558685</v>
      </c>
    </row>
    <row r="24" spans="1:6" ht="15" customHeight="1">
      <c r="A24" s="8" t="s">
        <v>189</v>
      </c>
      <c r="B24" s="9">
        <f>Assumptions!$C$22/Assumptions!$C$20*Assumptions!$C$9*(1+Assumptions!$C$7)^(B$4-1)</f>
        <v>668.95343101051753</v>
      </c>
      <c r="C24" s="9">
        <f>Assumptions!$C$22/Assumptions!$C$20*Assumptions!$C$9*(1+Assumptions!$C$7)^(C$4-1)</f>
        <v>689.02203394083313</v>
      </c>
      <c r="D24" s="9">
        <f>Assumptions!$C$22/Assumptions!$C$20*Assumptions!$C$9*(1+Assumptions!$C$7)^(D$4-1)</f>
        <v>709.69269495905803</v>
      </c>
      <c r="E24" s="9">
        <f>Assumptions!$C$22/Assumptions!$C$20*Assumptions!$C$9*(1+Assumptions!$C$7)^(E$4-1)</f>
        <v>730.98347580782979</v>
      </c>
      <c r="F24" s="9">
        <f>Assumptions!$C$22/Assumptions!$C$20*Assumptions!$C$9*(1+Assumptions!$C$7)^(F$4-1)</f>
        <v>752.91298008206468</v>
      </c>
    </row>
    <row r="25" spans="1:6" ht="15" customHeight="1">
      <c r="A25" s="8" t="s">
        <v>190</v>
      </c>
      <c r="B25" s="9">
        <f>Assumptions!$C$22*Assumptions!$C$27*(1+Assumptions!$C$7)^(B$4-1)</f>
        <v>534.79554402290614</v>
      </c>
      <c r="C25" s="9">
        <f>Assumptions!$C$22*Assumptions!$C$27*(1+Assumptions!$C$7)^(C$4-1)</f>
        <v>550.83941034359339</v>
      </c>
      <c r="D25" s="9">
        <f>Assumptions!$C$22*Assumptions!$C$27*(1+Assumptions!$C$7)^(D$4-1)</f>
        <v>567.36459265390113</v>
      </c>
      <c r="E25" s="9">
        <f>Assumptions!$C$22*Assumptions!$C$27*(1+Assumptions!$C$7)^(E$4-1)</f>
        <v>584.38553043351817</v>
      </c>
      <c r="F25" s="9">
        <f>Assumptions!$C$22*Assumptions!$C$27*(1+Assumptions!$C$7)^(F$4-1)</f>
        <v>601.91709634652364</v>
      </c>
    </row>
    <row r="26" spans="1:6" ht="15" customHeight="1">
      <c r="A26" s="8" t="s">
        <v>191</v>
      </c>
      <c r="B26" s="9">
        <f>Assumptions!$C$23*(1+Assumptions!$C$7)^(B$4-1)</f>
        <v>1833</v>
      </c>
      <c r="C26" s="9">
        <f>Assumptions!$C$23*(1+Assumptions!$C$7)^(C$4-1)</f>
        <v>1887.99</v>
      </c>
      <c r="D26" s="9">
        <f>Assumptions!$C$23*(1+Assumptions!$C$7)^(D$4-1)</f>
        <v>1944.6297</v>
      </c>
      <c r="E26" s="9">
        <f>Assumptions!$C$23*(1+Assumptions!$C$7)^(E$4-1)</f>
        <v>2002.9685910000001</v>
      </c>
      <c r="F26" s="9">
        <f>Assumptions!$C$23*(1+Assumptions!$C$7)^(F$4-1)</f>
        <v>2063.05764873</v>
      </c>
    </row>
    <row r="27" spans="1:6" ht="15" customHeight="1">
      <c r="A27" s="8" t="s">
        <v>192</v>
      </c>
      <c r="B27" s="9">
        <f>Assumptions!$C$26</f>
        <v>4374</v>
      </c>
      <c r="C27" s="9">
        <f>Assumptions!$C$26</f>
        <v>4374</v>
      </c>
      <c r="D27" s="9">
        <f>Assumptions!$C$26</f>
        <v>4374</v>
      </c>
      <c r="E27" s="9">
        <f>Assumptions!$C$26</f>
        <v>4374</v>
      </c>
      <c r="F27" s="9">
        <f>Assumptions!$C$26</f>
        <v>4374</v>
      </c>
    </row>
    <row r="28" spans="1:6" ht="15" customHeight="1">
      <c r="A28" s="31" t="s">
        <v>193</v>
      </c>
      <c r="B28" s="32">
        <f>SUM(B23:B27)</f>
        <v>85040.05101360094</v>
      </c>
      <c r="C28" s="32">
        <f>SUM(C23:C27)</f>
        <v>87460.032544008965</v>
      </c>
      <c r="D28" s="32">
        <f>SUM(D23:D27)</f>
        <v>89952.613520329222</v>
      </c>
      <c r="E28" s="32">
        <f>SUM(E23:E27)</f>
        <v>92519.971925939099</v>
      </c>
      <c r="F28" s="32">
        <f>SUM(F23:F27)</f>
        <v>95164.35108371728</v>
      </c>
    </row>
    <row r="29" spans="1:6" ht="15" customHeight="1">
      <c r="A29" s="33"/>
      <c r="B29" s="34"/>
      <c r="C29" s="34"/>
      <c r="D29" s="34"/>
      <c r="E29" s="34"/>
      <c r="F29" s="34"/>
    </row>
    <row r="30" spans="1:6" ht="15" customHeight="1">
      <c r="A30" s="28" t="s">
        <v>194</v>
      </c>
      <c r="B30" s="29"/>
      <c r="C30" s="29"/>
      <c r="D30" s="29"/>
      <c r="E30" s="29"/>
      <c r="F30" s="30"/>
    </row>
    <row r="31" spans="1:6" ht="15" customHeight="1">
      <c r="A31" s="8" t="s">
        <v>195</v>
      </c>
      <c r="B31" s="9">
        <f>B28-B20</f>
        <v>-101940.86284314837</v>
      </c>
      <c r="C31" s="9">
        <f>C28-C20</f>
        <v>39069.691271557167</v>
      </c>
      <c r="D31" s="9">
        <f>D28-D20</f>
        <v>56024.062009703877</v>
      </c>
      <c r="E31" s="9">
        <f>E28-E20</f>
        <v>41182.658869994993</v>
      </c>
      <c r="F31" s="9">
        <f>F28-F20</f>
        <v>69169.550786094856</v>
      </c>
    </row>
    <row r="32" spans="1:6" ht="15" customHeight="1">
      <c r="A32" s="8" t="s">
        <v>196</v>
      </c>
      <c r="B32" s="9">
        <f>SUM($B$20:B20)</f>
        <v>186980.91385674931</v>
      </c>
      <c r="C32" s="9">
        <f>SUM($B$20:C20)</f>
        <v>235371.2551292011</v>
      </c>
      <c r="D32" s="9">
        <f>SUM($B$20:D20)</f>
        <v>269299.80663982645</v>
      </c>
      <c r="E32" s="9">
        <f>SUM($B$20:E20)</f>
        <v>320637.11969577055</v>
      </c>
      <c r="F32" s="9">
        <f>SUM($B$20:F20)</f>
        <v>346631.91999339301</v>
      </c>
    </row>
    <row r="33" spans="1:6" ht="15" customHeight="1">
      <c r="A33" s="8" t="s">
        <v>197</v>
      </c>
      <c r="B33" s="9">
        <f>SUM($B$28:B28)</f>
        <v>85040.05101360094</v>
      </c>
      <c r="C33" s="9">
        <f>SUM($B$28:C28)</f>
        <v>172500.08355760991</v>
      </c>
      <c r="D33" s="9">
        <f>SUM($B$28:D28)</f>
        <v>262452.69707793911</v>
      </c>
      <c r="E33" s="9">
        <f>SUM($B$28:E28)</f>
        <v>354972.6690038782</v>
      </c>
      <c r="F33" s="9">
        <f>SUM($B$28:F28)</f>
        <v>450137.02008759545</v>
      </c>
    </row>
    <row r="34" spans="1:6" ht="15" customHeight="1">
      <c r="A34" s="8" t="s">
        <v>198</v>
      </c>
      <c r="B34" s="9">
        <f>B33-B32</f>
        <v>-101940.86284314837</v>
      </c>
      <c r="C34" s="9">
        <f>C33-C32</f>
        <v>-62871.1715715912</v>
      </c>
      <c r="D34" s="9">
        <f>D33-D32</f>
        <v>-6847.1095618873369</v>
      </c>
      <c r="E34" s="9">
        <f>E33-E32</f>
        <v>34335.549308107642</v>
      </c>
      <c r="F34" s="9">
        <f>F33-F32</f>
        <v>103505.10009420244</v>
      </c>
    </row>
    <row r="35" spans="1:6" ht="15" customHeight="1">
      <c r="A35" s="8" t="s">
        <v>199</v>
      </c>
      <c r="B35" s="18">
        <f>B20/Assumptions!$C$48</f>
        <v>25.613823815993054</v>
      </c>
      <c r="C35" s="18">
        <f>C20/Assumptions!$C$48</f>
        <v>6.6288138729386024</v>
      </c>
      <c r="D35" s="18">
        <f>D20/Assumptions!$C$48</f>
        <v>4.6477467822774443</v>
      </c>
      <c r="E35" s="18">
        <f>E20/Assumptions!$C$48</f>
        <v>7.0325086378005626</v>
      </c>
      <c r="F35" s="18">
        <f>F20/Assumptions!$C$48</f>
        <v>3.5609315476195103</v>
      </c>
    </row>
    <row r="36" spans="1:6" ht="15" customHeight="1">
      <c r="A36" s="8" t="s">
        <v>200</v>
      </c>
      <c r="B36" s="18">
        <f>B28/Assumptions!$C$48</f>
        <v>11.649322056657663</v>
      </c>
      <c r="C36" s="18">
        <f>C28/Assumptions!$C$48</f>
        <v>11.980826375891638</v>
      </c>
      <c r="D36" s="18">
        <f>D28/Assumptions!$C$48</f>
        <v>12.322275824702633</v>
      </c>
      <c r="E36" s="18">
        <f>E28/Assumptions!$C$48</f>
        <v>12.673968756977958</v>
      </c>
      <c r="F36" s="18">
        <f>F28/Assumptions!$C$48</f>
        <v>13.036212477221545</v>
      </c>
    </row>
    <row r="37" spans="1:6" ht="15" customHeight="1">
      <c r="A37" s="8" t="s">
        <v>201</v>
      </c>
      <c r="B37" s="18">
        <f>B20/(Assumptions!$C$53*Assumptions!$C$46)</f>
        <v>64.034559539982638</v>
      </c>
      <c r="C37" s="18">
        <f>C20/(Assumptions!$C$53*Assumptions!$C$46)</f>
        <v>16.572034682346505</v>
      </c>
      <c r="D37" s="18">
        <f>D20/(Assumptions!$C$53*Assumptions!$C$46)</f>
        <v>11.619366955693611</v>
      </c>
      <c r="E37" s="18">
        <f>E20/(Assumptions!$C$53*Assumptions!$C$46)</f>
        <v>17.581271594501406</v>
      </c>
      <c r="F37" s="18">
        <f>F20/(Assumptions!$C$53*Assumptions!$C$46)</f>
        <v>8.902328869048775</v>
      </c>
    </row>
    <row r="38" spans="1:6" ht="15" customHeight="1">
      <c r="A38" s="8" t="s">
        <v>202</v>
      </c>
      <c r="B38" s="18">
        <f>B28/(Assumptions!$C$53*Assumptions!$C$46)</f>
        <v>29.123305141644156</v>
      </c>
      <c r="C38" s="18">
        <f>C28/(Assumptions!$C$53*Assumptions!$C$46)</f>
        <v>29.952065939729099</v>
      </c>
      <c r="D38" s="18">
        <f>D28/(Assumptions!$C$53*Assumptions!$C$46)</f>
        <v>30.805689561756584</v>
      </c>
      <c r="E38" s="18">
        <f>E28/(Assumptions!$C$53*Assumptions!$C$46)</f>
        <v>31.684921892444898</v>
      </c>
      <c r="F38" s="18">
        <f>F28/(Assumptions!$C$53*Assumptions!$C$46)</f>
        <v>32.590531193053863</v>
      </c>
    </row>
    <row r="39" spans="1:6">
      <c r="A39" s="33"/>
      <c r="B39" s="33"/>
      <c r="C39" s="33"/>
      <c r="D39" s="33"/>
      <c r="E39" s="33"/>
      <c r="F39" s="33"/>
    </row>
    <row r="40" spans="1:6">
      <c r="A40" s="33"/>
      <c r="B40" s="33"/>
      <c r="C40" s="33"/>
      <c r="D40" s="33"/>
      <c r="E40" s="33"/>
      <c r="F40" s="33"/>
    </row>
    <row r="41" spans="1:6" ht="15" customHeight="1">
      <c r="A41" s="28" t="s">
        <v>203</v>
      </c>
      <c r="B41" s="29"/>
      <c r="C41" s="29"/>
      <c r="D41" s="29"/>
      <c r="E41" s="29"/>
      <c r="F41" s="30"/>
    </row>
    <row r="42" spans="1:6" ht="15" customHeight="1">
      <c r="A42" s="1" t="s">
        <v>204</v>
      </c>
      <c r="B42" s="1" t="s">
        <v>22</v>
      </c>
      <c r="C42" s="3" t="s">
        <v>205</v>
      </c>
      <c r="D42" s="3"/>
      <c r="E42" s="3"/>
      <c r="F42" s="3"/>
    </row>
    <row r="43" spans="1:6" ht="15" customHeight="1">
      <c r="A43" s="8" t="s">
        <v>206</v>
      </c>
      <c r="B43" s="9">
        <f>SUM(B20:F20)</f>
        <v>346631.91999339301</v>
      </c>
      <c r="C43" s="35" t="s">
        <v>207</v>
      </c>
      <c r="D43" s="35"/>
      <c r="E43" s="35"/>
      <c r="F43" s="35"/>
    </row>
    <row r="44" spans="1:6" ht="15" customHeight="1">
      <c r="A44" s="8" t="s">
        <v>208</v>
      </c>
      <c r="B44" s="9">
        <f>SUM(B28:F28)</f>
        <v>450137.02008759545</v>
      </c>
      <c r="C44" s="35" t="s">
        <v>209</v>
      </c>
      <c r="D44" s="35"/>
      <c r="E44" s="35"/>
      <c r="F44" s="35"/>
    </row>
    <row r="45" spans="1:6" ht="15" customHeight="1">
      <c r="A45" s="8" t="s">
        <v>5</v>
      </c>
      <c r="B45" s="9">
        <f>B44-B43</f>
        <v>103505.10009420244</v>
      </c>
      <c r="C45" s="35" t="s">
        <v>210</v>
      </c>
      <c r="D45" s="35"/>
      <c r="E45" s="35"/>
      <c r="F45" s="35"/>
    </row>
    <row r="46" spans="1:6" ht="15" customHeight="1">
      <c r="A46" s="8" t="s">
        <v>211</v>
      </c>
      <c r="B46" s="18">
        <f>B43/(Assumptions!C48*Assumptions!C6)</f>
        <v>9.4967649313258367</v>
      </c>
      <c r="C46" s="35" t="s">
        <v>212</v>
      </c>
      <c r="D46" s="35"/>
      <c r="E46" s="35"/>
      <c r="F46" s="35"/>
    </row>
    <row r="47" spans="1:6" ht="15" customHeight="1">
      <c r="A47" s="8" t="s">
        <v>213</v>
      </c>
      <c r="B47" s="18">
        <f>B44/(Assumptions!C48*Assumptions!C6)</f>
        <v>12.332521098290286</v>
      </c>
      <c r="C47" s="35" t="s">
        <v>214</v>
      </c>
      <c r="D47" s="35"/>
      <c r="E47" s="35"/>
      <c r="F47" s="35"/>
    </row>
    <row r="48" spans="1:6" ht="15" customHeight="1">
      <c r="A48" s="8" t="s">
        <v>215</v>
      </c>
      <c r="B48" s="8" t="str">
        <f>IF(B34&gt;=0,"Year 1",IF(C34&gt;=0,"Year 2",IF(D34&gt;=0,"Year 3",IF(E34&gt;=0,"Year 4",IF(F34&gt;=0,"Year 5","Beyond 5 years")))))</f>
        <v>Year 4</v>
      </c>
      <c r="C48" s="35" t="s">
        <v>216</v>
      </c>
      <c r="D48" s="35"/>
      <c r="E48" s="35"/>
      <c r="F48" s="35"/>
    </row>
    <row r="49" spans="1:6" ht="15" customHeight="1">
      <c r="A49" s="8" t="s">
        <v>217</v>
      </c>
      <c r="B49" s="10">
        <f>IF(B34&gt;=0,SUM(B6:B11)/(B28-SUM(B12:B18))*12,IF(C34&gt;=0,12+(-B34/C31)*12,IF(D34&gt;=0,24+(-C34/D31)*12,IF(E34&gt;=0,36+(-D34/E31)*12,IF(F34&gt;=0,48+(-E34/F31)*12,"Beyond 5 years")))))</f>
        <v>37.995143514216181</v>
      </c>
      <c r="C49" s="35" t="s">
        <v>218</v>
      </c>
      <c r="D49" s="35"/>
      <c r="E49" s="35"/>
      <c r="F49" s="35"/>
    </row>
  </sheetData>
  <mergeCells count="13">
    <mergeCell ref="C46:F46"/>
    <mergeCell ref="C47:F47"/>
    <mergeCell ref="C48:F48"/>
    <mergeCell ref="C49:F49"/>
    <mergeCell ref="A1:F3"/>
    <mergeCell ref="A41:F41"/>
    <mergeCell ref="C42:F42"/>
    <mergeCell ref="C43:F43"/>
    <mergeCell ref="C44:F44"/>
    <mergeCell ref="C45:F45"/>
    <mergeCell ref="A5:F5"/>
    <mergeCell ref="A22:F22"/>
    <mergeCell ref="A30:F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opLeftCell="A23" workbookViewId="0">
      <selection activeCell="J16" sqref="J16"/>
    </sheetView>
  </sheetViews>
  <sheetFormatPr defaultRowHeight="13.8"/>
  <cols>
    <col min="1" max="1" width="34" customWidth="1"/>
    <col min="2" max="6" width="17" customWidth="1"/>
  </cols>
  <sheetData>
    <row r="1" spans="1:6" ht="26.4" customHeight="1">
      <c r="A1" s="4" t="s">
        <v>219</v>
      </c>
      <c r="B1" s="4"/>
      <c r="C1" s="4"/>
      <c r="D1" s="4"/>
      <c r="E1" s="4"/>
      <c r="F1" s="4"/>
    </row>
    <row r="2" spans="1:6" ht="5.4" hidden="1" customHeight="1">
      <c r="A2" s="4"/>
      <c r="B2" s="4"/>
      <c r="C2" s="4"/>
      <c r="D2" s="4"/>
      <c r="E2" s="4"/>
      <c r="F2" s="4"/>
    </row>
    <row r="3" spans="1:6" hidden="1">
      <c r="A3" s="27"/>
      <c r="B3" s="27"/>
      <c r="C3" s="27"/>
      <c r="D3" s="27"/>
      <c r="E3" s="27"/>
      <c r="F3" s="27"/>
    </row>
    <row r="4" spans="1:6" ht="28.05" customHeight="1">
      <c r="A4" s="1" t="s">
        <v>182</v>
      </c>
      <c r="B4" s="2">
        <v>1</v>
      </c>
      <c r="C4" s="2">
        <v>2</v>
      </c>
      <c r="D4" s="2">
        <v>3</v>
      </c>
      <c r="E4" s="2">
        <v>4</v>
      </c>
      <c r="F4" s="2">
        <v>5</v>
      </c>
    </row>
    <row r="5" spans="1:6" ht="22.05" customHeight="1">
      <c r="A5" s="28" t="s">
        <v>9</v>
      </c>
      <c r="B5" s="29"/>
      <c r="C5" s="29"/>
      <c r="D5" s="29"/>
      <c r="E5" s="29"/>
      <c r="F5" s="30"/>
    </row>
    <row r="6" spans="1:6" ht="15" customHeight="1">
      <c r="A6" s="8" t="s">
        <v>220</v>
      </c>
      <c r="B6" s="9">
        <f>IF(B$4=1,Assumptions!$C$57,0)</f>
        <v>62500</v>
      </c>
      <c r="C6" s="9">
        <f>IF(C$4=1,Assumptions!$C$57,0)</f>
        <v>0</v>
      </c>
      <c r="D6" s="9">
        <f>IF(D$4=1,Assumptions!$C$57,0)</f>
        <v>0</v>
      </c>
      <c r="E6" s="9">
        <f>IF(E$4=1,Assumptions!$C$57,0)</f>
        <v>0</v>
      </c>
      <c r="F6" s="9">
        <f>IF(F$4=1,Assumptions!$C$57,0)</f>
        <v>0</v>
      </c>
    </row>
    <row r="7" spans="1:6" ht="15" customHeight="1">
      <c r="A7" s="8" t="s">
        <v>110</v>
      </c>
      <c r="B7" s="9">
        <f>IF(B$4=1,Assumptions!$C$57*Assumptions!$C$58,0)</f>
        <v>3125</v>
      </c>
      <c r="C7" s="9">
        <f>IF(C$4=1,Assumptions!$C$57*Assumptions!$C$58,0)</f>
        <v>0</v>
      </c>
      <c r="D7" s="9">
        <f>IF(D$4=1,Assumptions!$C$57*Assumptions!$C$58,0)</f>
        <v>0</v>
      </c>
      <c r="E7" s="9">
        <f>IF(E$4=1,Assumptions!$C$57*Assumptions!$C$58,0)</f>
        <v>0</v>
      </c>
      <c r="F7" s="9">
        <f>IF(F$4=1,Assumptions!$C$57*Assumptions!$C$58,0)</f>
        <v>0</v>
      </c>
    </row>
    <row r="8" spans="1:6" ht="15" customHeight="1">
      <c r="A8" s="8" t="s">
        <v>164</v>
      </c>
      <c r="B8" s="9">
        <f>IF(B$4=1,Assumptions!$C$57*Assumptions!$C$59,0)</f>
        <v>10000</v>
      </c>
      <c r="C8" s="9">
        <f>IF(C$4=1,Assumptions!$C$57*Assumptions!$C$59,0)</f>
        <v>0</v>
      </c>
      <c r="D8" s="9">
        <f>IF(D$4=1,Assumptions!$C$57*Assumptions!$C$59,0)</f>
        <v>0</v>
      </c>
      <c r="E8" s="9">
        <f>IF(E$4=1,Assumptions!$C$57*Assumptions!$C$59,0)</f>
        <v>0</v>
      </c>
      <c r="F8" s="9">
        <f>IF(F$4=1,Assumptions!$C$57*Assumptions!$C$59,0)</f>
        <v>0</v>
      </c>
    </row>
    <row r="9" spans="1:6" ht="15" customHeight="1">
      <c r="A9" s="8" t="s">
        <v>115</v>
      </c>
      <c r="B9" s="9">
        <f>IF(B$4=1,Assumptions!$C$57*Assumptions!$C$60,0)</f>
        <v>5000</v>
      </c>
      <c r="C9" s="9">
        <f>IF(C$4=1,Assumptions!$C$57*Assumptions!$C$60,0)</f>
        <v>0</v>
      </c>
      <c r="D9" s="9">
        <f>IF(D$4=1,Assumptions!$C$57*Assumptions!$C$60,0)</f>
        <v>0</v>
      </c>
      <c r="E9" s="9">
        <f>IF(E$4=1,Assumptions!$C$57*Assumptions!$C$60,0)</f>
        <v>0</v>
      </c>
      <c r="F9" s="9">
        <f>IF(F$4=1,Assumptions!$C$57*Assumptions!$C$60,0)</f>
        <v>0</v>
      </c>
    </row>
    <row r="10" spans="1:6" ht="15" customHeight="1">
      <c r="A10" s="8" t="s">
        <v>117</v>
      </c>
      <c r="B10" s="9">
        <f>IF(B$4=1,Assumptions!$C$57*Assumptions!$C$61,0)</f>
        <v>12500</v>
      </c>
      <c r="C10" s="9">
        <f>IF(C$4=1,Assumptions!$C$57*Assumptions!$C$61,0)</f>
        <v>0</v>
      </c>
      <c r="D10" s="9">
        <f>IF(D$4=1,Assumptions!$C$57*Assumptions!$C$61,0)</f>
        <v>0</v>
      </c>
      <c r="E10" s="9">
        <f>IF(E$4=1,Assumptions!$C$57*Assumptions!$C$61,0)</f>
        <v>0</v>
      </c>
      <c r="F10" s="9">
        <f>IF(F$4=1,Assumptions!$C$57*Assumptions!$C$61,0)</f>
        <v>0</v>
      </c>
    </row>
    <row r="11" spans="1:6" ht="15" customHeight="1">
      <c r="A11" s="8" t="s">
        <v>119</v>
      </c>
      <c r="B11" s="9">
        <f>IF(B$4=1,Assumptions!$C$57*Assumptions!$C$62,0)</f>
        <v>5000</v>
      </c>
      <c r="C11" s="9">
        <f>IF(C$4=1,Assumptions!$C$57*Assumptions!$C$62,0)</f>
        <v>0</v>
      </c>
      <c r="D11" s="9">
        <f>IF(D$4=1,Assumptions!$C$57*Assumptions!$C$62,0)</f>
        <v>0</v>
      </c>
      <c r="E11" s="9">
        <f>IF(E$4=1,Assumptions!$C$57*Assumptions!$C$62,0)</f>
        <v>0</v>
      </c>
      <c r="F11" s="9">
        <f>IF(F$4=1,Assumptions!$C$57*Assumptions!$C$62,0)</f>
        <v>0</v>
      </c>
    </row>
    <row r="12" spans="1:6" ht="15" customHeight="1">
      <c r="A12" s="8" t="s">
        <v>168</v>
      </c>
      <c r="B12" s="9">
        <f>Assumptions!$C$63*(1+Assumptions!$C$7)^(B$4-1)</f>
        <v>12500</v>
      </c>
      <c r="C12" s="9">
        <f>Assumptions!$C$63*(1+Assumptions!$C$7)^(C$4-1)</f>
        <v>12875</v>
      </c>
      <c r="D12" s="9">
        <f>Assumptions!$C$63*(1+Assumptions!$C$7)^(D$4-1)</f>
        <v>13261.25</v>
      </c>
      <c r="E12" s="9">
        <f>Assumptions!$C$63*(1+Assumptions!$C$7)^(E$4-1)</f>
        <v>13659.0875</v>
      </c>
      <c r="F12" s="9">
        <f>Assumptions!$C$63*(1+Assumptions!$C$7)^(F$4-1)</f>
        <v>14068.860124999999</v>
      </c>
    </row>
    <row r="13" spans="1:6" ht="15" customHeight="1">
      <c r="A13" s="8" t="s">
        <v>184</v>
      </c>
      <c r="B13" s="9">
        <f>Assumptions!$C$64*Assumptions!$C$65*Assumptions!$C$8*(1+Assumptions!$C$7)^(B$4-1)</f>
        <v>146.83949999999999</v>
      </c>
      <c r="C13" s="9">
        <f>Assumptions!$C$64*Assumptions!$C$65*Assumptions!$C$8*(1+Assumptions!$C$7)^(C$4-1)</f>
        <v>151.244685</v>
      </c>
      <c r="D13" s="9">
        <f>Assumptions!$C$64*Assumptions!$C$65*Assumptions!$C$8*(1+Assumptions!$C$7)^(D$4-1)</f>
        <v>155.78202554999999</v>
      </c>
      <c r="E13" s="9">
        <f>Assumptions!$C$64*Assumptions!$C$65*Assumptions!$C$8*(1+Assumptions!$C$7)^(E$4-1)</f>
        <v>160.45548631649999</v>
      </c>
      <c r="F13" s="9">
        <f>Assumptions!$C$64*Assumptions!$C$65*Assumptions!$C$8*(1+Assumptions!$C$7)^(F$4-1)</f>
        <v>165.26915090599496</v>
      </c>
    </row>
    <row r="14" spans="1:6" ht="15" customHeight="1">
      <c r="A14" s="8" t="s">
        <v>98</v>
      </c>
      <c r="B14" s="9">
        <f>Assumptions!$C$57*Assumptions!$C$10*(1+Assumptions!$C$7)^(B$4-1)</f>
        <v>3125</v>
      </c>
      <c r="C14" s="9">
        <f>Assumptions!$C$57*Assumptions!$C$10*(1+Assumptions!$C$7)^(C$4-1)</f>
        <v>3218.75</v>
      </c>
      <c r="D14" s="9">
        <f>Assumptions!$C$57*Assumptions!$C$10*(1+Assumptions!$C$7)^(D$4-1)</f>
        <v>3315.3125</v>
      </c>
      <c r="E14" s="9">
        <f>Assumptions!$C$57*Assumptions!$C$10*(1+Assumptions!$C$7)^(E$4-1)</f>
        <v>3414.7718749999999</v>
      </c>
      <c r="F14" s="9">
        <f>Assumptions!$C$57*Assumptions!$C$10*(1+Assumptions!$C$7)^(F$4-1)</f>
        <v>3517.2150312499998</v>
      </c>
    </row>
    <row r="15" spans="1:6" ht="15" customHeight="1">
      <c r="A15" s="8" t="s">
        <v>221</v>
      </c>
      <c r="B15" s="9">
        <f>Assumptions!$C$69*Assumptions!$C$65*Assumptions!$C$66*Assumptions!$C$18*(1+Assumptions!$C$7)^(B$4-1)</f>
        <v>58221.976528925625</v>
      </c>
      <c r="C15" s="9">
        <f>Assumptions!$C$69*Assumptions!$C$65*Assumptions!$C$66*Assumptions!$C$18*(1+Assumptions!$C$7)^(C$4-1)</f>
        <v>59968.635824793397</v>
      </c>
      <c r="D15" s="9">
        <f>Assumptions!$C$69*Assumptions!$C$65*Assumptions!$C$66*Assumptions!$C$18*(1+Assumptions!$C$7)^(D$4-1)</f>
        <v>61767.694899537193</v>
      </c>
      <c r="E15" s="9">
        <f>Assumptions!$C$69*Assumptions!$C$65*Assumptions!$C$66*Assumptions!$C$18*(1+Assumptions!$C$7)^(E$4-1)</f>
        <v>63620.725746523312</v>
      </c>
      <c r="F15" s="9">
        <f>Assumptions!$C$69*Assumptions!$C$65*Assumptions!$C$66*Assumptions!$C$18*(1+Assumptions!$C$7)^(F$4-1)</f>
        <v>65529.347518919007</v>
      </c>
    </row>
    <row r="16" spans="1:6" ht="15" customHeight="1">
      <c r="A16" s="8" t="s">
        <v>185</v>
      </c>
      <c r="B16" s="9">
        <f>Assumptions!$C$69*Assumptions!$C$65*Assumptions!$C$67*Assumptions!$C$18*(1+Assumptions!$C$7)^(B$4-1)</f>
        <v>4657.7581223140505</v>
      </c>
      <c r="C16" s="9">
        <f>Assumptions!$C$69*Assumptions!$C$65*Assumptions!$C$67*Assumptions!$C$18*(1+Assumptions!$C$7)^(C$4-1)</f>
        <v>4797.4908659834718</v>
      </c>
      <c r="D16" s="9">
        <f>Assumptions!$C$69*Assumptions!$C$65*Assumptions!$C$67*Assumptions!$C$18*(1+Assumptions!$C$7)^(D$4-1)</f>
        <v>4941.4155919629757</v>
      </c>
      <c r="E16" s="9">
        <f>Assumptions!$C$69*Assumptions!$C$65*Assumptions!$C$67*Assumptions!$C$18*(1+Assumptions!$C$7)^(E$4-1)</f>
        <v>5089.6580597218654</v>
      </c>
      <c r="F16" s="9">
        <f>Assumptions!$C$69*Assumptions!$C$65*Assumptions!$C$67*Assumptions!$C$18*(1+Assumptions!$C$7)^(F$4-1)</f>
        <v>5242.3478015135206</v>
      </c>
    </row>
    <row r="17" spans="1:6" ht="15" customHeight="1">
      <c r="A17" s="8" t="s">
        <v>178</v>
      </c>
      <c r="B17" s="9">
        <f>Assumptions!$C$70</f>
        <v>0</v>
      </c>
      <c r="C17" s="9">
        <f>Assumptions!$C$70</f>
        <v>0</v>
      </c>
      <c r="D17" s="9">
        <f>Assumptions!$C$70</f>
        <v>0</v>
      </c>
      <c r="E17" s="9">
        <f>Assumptions!$C$70</f>
        <v>0</v>
      </c>
      <c r="F17" s="9">
        <f>Assumptions!$C$70</f>
        <v>0</v>
      </c>
    </row>
    <row r="18" spans="1:6" ht="15" customHeight="1">
      <c r="A18" s="8" t="s">
        <v>155</v>
      </c>
      <c r="B18" s="9">
        <f>IF(B$4=Assumptions!$C$6,-Assumptions!$C$57*Assumptions!$C$68,0)</f>
        <v>0</v>
      </c>
      <c r="C18" s="9">
        <f>IF(C$4=Assumptions!$C$6,-Assumptions!$C$57*Assumptions!$C$68,0)</f>
        <v>0</v>
      </c>
      <c r="D18" s="9">
        <f>IF(D$4=Assumptions!$C$6,-Assumptions!$C$57*Assumptions!$C$68,0)</f>
        <v>0</v>
      </c>
      <c r="E18" s="9">
        <f>IF(E$4=Assumptions!$C$6,-Assumptions!$C$57*Assumptions!$C$68,0)</f>
        <v>0</v>
      </c>
      <c r="F18" s="9">
        <f>IF(F$4=Assumptions!$C$6,-Assumptions!$C$57*Assumptions!$C$68,0)</f>
        <v>-6250</v>
      </c>
    </row>
    <row r="19" spans="1:6" ht="15" customHeight="1">
      <c r="A19" s="31" t="s">
        <v>222</v>
      </c>
      <c r="B19" s="32">
        <f>SUM(B6:B18)</f>
        <v>176776.57415123968</v>
      </c>
      <c r="C19" s="32">
        <f>SUM(C6:C18)</f>
        <v>81011.121375776871</v>
      </c>
      <c r="D19" s="32">
        <f>SUM(D6:D18)</f>
        <v>83441.455017050161</v>
      </c>
      <c r="E19" s="32">
        <f>SUM(E6:E18)</f>
        <v>85944.698667561679</v>
      </c>
      <c r="F19" s="32">
        <f>SUM(F6:F18)</f>
        <v>82273.039627588514</v>
      </c>
    </row>
    <row r="20" spans="1:6" ht="15" customHeight="1">
      <c r="A20" s="33"/>
      <c r="B20" s="34"/>
      <c r="C20" s="34"/>
      <c r="D20" s="34"/>
      <c r="E20" s="34"/>
      <c r="F20" s="34"/>
    </row>
    <row r="21" spans="1:6" ht="15" customHeight="1">
      <c r="A21" s="28" t="s">
        <v>223</v>
      </c>
      <c r="B21" s="29"/>
      <c r="C21" s="29"/>
      <c r="D21" s="29"/>
      <c r="E21" s="29"/>
      <c r="F21" s="30"/>
    </row>
    <row r="22" spans="1:6" ht="15" customHeight="1">
      <c r="A22" s="8" t="s">
        <v>188</v>
      </c>
      <c r="B22" s="9">
        <f>Assumptions!$C$69*Assumptions!$C$65*Assumptions!$C$18*(1+Assumptions!$C$7)^(B$4-1)</f>
        <v>232887.9061157025</v>
      </c>
      <c r="C22" s="9">
        <f>Assumptions!$C$69*Assumptions!$C$65*Assumptions!$C$18*(1+Assumptions!$C$7)^(C$4-1)</f>
        <v>239874.54329917359</v>
      </c>
      <c r="D22" s="9">
        <f>Assumptions!$C$69*Assumptions!$C$65*Assumptions!$C$18*(1+Assumptions!$C$7)^(D$4-1)</f>
        <v>247070.77959814877</v>
      </c>
      <c r="E22" s="9">
        <f>Assumptions!$C$69*Assumptions!$C$65*Assumptions!$C$18*(1+Assumptions!$C$7)^(E$4-1)</f>
        <v>254482.90298609325</v>
      </c>
      <c r="F22" s="9">
        <f>Assumptions!$C$69*Assumptions!$C$65*Assumptions!$C$18*(1+Assumptions!$C$7)^(F$4-1)</f>
        <v>262117.39007567603</v>
      </c>
    </row>
    <row r="23" spans="1:6" ht="15" customHeight="1">
      <c r="A23" s="31" t="s">
        <v>224</v>
      </c>
      <c r="B23" s="32">
        <f>B22</f>
        <v>232887.9061157025</v>
      </c>
      <c r="C23" s="32">
        <f>C22</f>
        <v>239874.54329917359</v>
      </c>
      <c r="D23" s="32">
        <f>D22</f>
        <v>247070.77959814877</v>
      </c>
      <c r="E23" s="32">
        <f>E22</f>
        <v>254482.90298609325</v>
      </c>
      <c r="F23" s="32">
        <f>F22</f>
        <v>262117.39007567603</v>
      </c>
    </row>
    <row r="24" spans="1:6" ht="15" customHeight="1">
      <c r="A24" s="33"/>
      <c r="B24" s="34"/>
      <c r="C24" s="34"/>
      <c r="D24" s="34"/>
      <c r="E24" s="34"/>
      <c r="F24" s="34"/>
    </row>
    <row r="25" spans="1:6" ht="15" customHeight="1">
      <c r="A25" s="28" t="s">
        <v>194</v>
      </c>
      <c r="B25" s="29"/>
      <c r="C25" s="29"/>
      <c r="D25" s="29"/>
      <c r="E25" s="29"/>
      <c r="F25" s="30"/>
    </row>
    <row r="26" spans="1:6" ht="15" customHeight="1">
      <c r="A26" s="8" t="s">
        <v>225</v>
      </c>
      <c r="B26" s="9">
        <f>B23-B19</f>
        <v>56111.331964462821</v>
      </c>
      <c r="C26" s="9">
        <f>C23-C19</f>
        <v>158863.4219233967</v>
      </c>
      <c r="D26" s="9">
        <f>D23-D19</f>
        <v>163629.32458109863</v>
      </c>
      <c r="E26" s="9">
        <f>E23-E19</f>
        <v>168538.20431853156</v>
      </c>
      <c r="F26" s="9">
        <f>F23-F19</f>
        <v>179844.3504480875</v>
      </c>
    </row>
    <row r="27" spans="1:6" ht="15" customHeight="1">
      <c r="A27" s="8" t="s">
        <v>226</v>
      </c>
      <c r="B27" s="9">
        <f>SUM($B$19:B19)</f>
        <v>176776.57415123968</v>
      </c>
      <c r="C27" s="9">
        <f>SUM($B$19:C19)</f>
        <v>257787.69552701653</v>
      </c>
      <c r="D27" s="9">
        <f>SUM($B$19:D19)</f>
        <v>341229.15054406668</v>
      </c>
      <c r="E27" s="9">
        <f>SUM($B$19:E19)</f>
        <v>427173.84921162837</v>
      </c>
      <c r="F27" s="9">
        <f>SUM($B$19:F19)</f>
        <v>509446.8888392169</v>
      </c>
    </row>
    <row r="28" spans="1:6" ht="15" customHeight="1">
      <c r="A28" s="8" t="s">
        <v>227</v>
      </c>
      <c r="B28" s="9">
        <f>SUM($B$23:B23)</f>
        <v>232887.9061157025</v>
      </c>
      <c r="C28" s="9">
        <f>SUM($B$23:C23)</f>
        <v>472762.44941487606</v>
      </c>
      <c r="D28" s="9">
        <f>SUM($B$23:D23)</f>
        <v>719833.22901302483</v>
      </c>
      <c r="E28" s="9">
        <f>SUM($B$23:E23)</f>
        <v>974316.13199911802</v>
      </c>
      <c r="F28" s="9">
        <f>SUM($B$23:F23)</f>
        <v>1236433.5220747939</v>
      </c>
    </row>
    <row r="29" spans="1:6" ht="15" customHeight="1">
      <c r="A29" s="8" t="s">
        <v>198</v>
      </c>
      <c r="B29" s="9">
        <f>B28-B27</f>
        <v>56111.331964462821</v>
      </c>
      <c r="C29" s="9">
        <f>C28-C27</f>
        <v>214974.75388785952</v>
      </c>
      <c r="D29" s="9">
        <f>D28-D27</f>
        <v>378604.07846895815</v>
      </c>
      <c r="E29" s="9">
        <f>E28-E27</f>
        <v>547142.2827874897</v>
      </c>
      <c r="F29" s="9">
        <f>F28-F27</f>
        <v>726986.63323557703</v>
      </c>
    </row>
    <row r="30" spans="1:6" ht="15" customHeight="1">
      <c r="A30" s="8" t="s">
        <v>228</v>
      </c>
      <c r="B30" s="18">
        <f>B19/(Assumptions!$C$69*Assumptions!$C$65)</f>
        <v>20.179974218178046</v>
      </c>
      <c r="C30" s="18">
        <f>C19/(Assumptions!$C$69*Assumptions!$C$65)</f>
        <v>9.2478449059106023</v>
      </c>
      <c r="D30" s="18">
        <f>D19/(Assumptions!$C$69*Assumptions!$C$65)</f>
        <v>9.5252802530879173</v>
      </c>
      <c r="E30" s="18">
        <f>E19/(Assumptions!$C$69*Assumptions!$C$65)</f>
        <v>9.8110386606805573</v>
      </c>
      <c r="F30" s="18">
        <f>F19/(Assumptions!$C$69*Assumptions!$C$65)</f>
        <v>9.391899500866268</v>
      </c>
    </row>
    <row r="31" spans="1:6" ht="15" customHeight="1">
      <c r="A31" s="8" t="s">
        <v>229</v>
      </c>
      <c r="B31" s="18">
        <f>B23/(Assumptions!$C$69*Assumptions!$C$65)</f>
        <v>26.585377410468322</v>
      </c>
      <c r="C31" s="18">
        <f>C23/(Assumptions!$C$69*Assumptions!$C$65)</f>
        <v>27.382938732782375</v>
      </c>
      <c r="D31" s="18">
        <f>D23/(Assumptions!$C$69*Assumptions!$C$65)</f>
        <v>28.204426894765842</v>
      </c>
      <c r="E31" s="18">
        <f>E23/(Assumptions!$C$69*Assumptions!$C$65)</f>
        <v>29.050559701608819</v>
      </c>
      <c r="F31" s="18">
        <f>F23/(Assumptions!$C$69*Assumptions!$C$65)</f>
        <v>29.92207649265708</v>
      </c>
    </row>
    <row r="32" spans="1:6">
      <c r="A32" s="33"/>
      <c r="B32" s="33"/>
      <c r="C32" s="33"/>
      <c r="D32" s="33"/>
      <c r="E32" s="33"/>
      <c r="F32" s="33"/>
    </row>
    <row r="33" spans="1:6">
      <c r="A33" s="33"/>
      <c r="B33" s="33"/>
      <c r="C33" s="33"/>
      <c r="D33" s="33"/>
      <c r="E33" s="33"/>
      <c r="F33" s="33"/>
    </row>
    <row r="34" spans="1:6" ht="15" customHeight="1">
      <c r="A34" s="28" t="s">
        <v>230</v>
      </c>
      <c r="B34" s="29"/>
      <c r="C34" s="29"/>
      <c r="D34" s="29"/>
      <c r="E34" s="29"/>
      <c r="F34" s="30"/>
    </row>
    <row r="35" spans="1:6" ht="15" customHeight="1">
      <c r="A35" s="1" t="s">
        <v>204</v>
      </c>
      <c r="B35" s="1" t="s">
        <v>22</v>
      </c>
      <c r="C35" s="3" t="s">
        <v>205</v>
      </c>
      <c r="D35" s="3"/>
      <c r="E35" s="3"/>
      <c r="F35" s="3"/>
    </row>
    <row r="36" spans="1:6" ht="15" customHeight="1">
      <c r="A36" s="8" t="s">
        <v>231</v>
      </c>
      <c r="B36" s="9">
        <f>SUM(B19:F19)</f>
        <v>509446.8888392169</v>
      </c>
      <c r="C36" s="35" t="s">
        <v>232</v>
      </c>
      <c r="D36" s="35"/>
      <c r="E36" s="35"/>
      <c r="F36" s="35"/>
    </row>
    <row r="37" spans="1:6" ht="15" customHeight="1">
      <c r="A37" s="8" t="s">
        <v>233</v>
      </c>
      <c r="B37" s="9">
        <f>SUM(B23:F23)</f>
        <v>1236433.5220747939</v>
      </c>
      <c r="C37" s="35" t="s">
        <v>234</v>
      </c>
      <c r="D37" s="35"/>
      <c r="E37" s="35"/>
      <c r="F37" s="35"/>
    </row>
    <row r="38" spans="1:6" ht="15" customHeight="1">
      <c r="A38" s="8" t="s">
        <v>5</v>
      </c>
      <c r="B38" s="9">
        <f>B37-B36</f>
        <v>726986.63323557703</v>
      </c>
      <c r="C38" s="35" t="s">
        <v>235</v>
      </c>
      <c r="D38" s="35"/>
      <c r="E38" s="35"/>
      <c r="F38" s="35"/>
    </row>
    <row r="39" spans="1:6" ht="15" customHeight="1">
      <c r="A39" s="8" t="s">
        <v>215</v>
      </c>
      <c r="B39" s="8" t="str">
        <f>IF(B29&gt;=0,"Year 1",IF(C29&gt;=0,"Year 2",IF(D29&gt;=0,"Year 3",IF(E29&gt;=0,"Year 4",IF(F29&gt;=0,"Year 5","Beyond 5 years")))))</f>
        <v>Year 1</v>
      </c>
      <c r="C39" s="35" t="s">
        <v>216</v>
      </c>
      <c r="D39" s="35"/>
      <c r="E39" s="35"/>
      <c r="F39" s="35"/>
    </row>
    <row r="40" spans="1:6" ht="15" customHeight="1">
      <c r="A40" s="8" t="s">
        <v>217</v>
      </c>
      <c r="B40" s="10">
        <f>IF(B23-SUM(B12:B17)&lt;=0,"Beyond 5 years",SUM(B6:B11)/(B23-SUM(B12:B17))*12)</f>
        <v>7.6343879875936409</v>
      </c>
      <c r="C40" s="35" t="s">
        <v>236</v>
      </c>
      <c r="D40" s="35"/>
      <c r="E40" s="35"/>
      <c r="F40" s="35"/>
    </row>
  </sheetData>
  <mergeCells count="11">
    <mergeCell ref="C39:F39"/>
    <mergeCell ref="C40:F40"/>
    <mergeCell ref="A1:F3"/>
    <mergeCell ref="A34:F34"/>
    <mergeCell ref="C35:F35"/>
    <mergeCell ref="C36:F36"/>
    <mergeCell ref="C37:F37"/>
    <mergeCell ref="C38:F38"/>
    <mergeCell ref="A5:F5"/>
    <mergeCell ref="A21:F21"/>
    <mergeCell ref="A25:F25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topLeftCell="A12" workbookViewId="0">
      <selection activeCell="H17" sqref="H17"/>
    </sheetView>
  </sheetViews>
  <sheetFormatPr defaultRowHeight="13.8"/>
  <cols>
    <col min="1" max="1" width="30" customWidth="1"/>
    <col min="2" max="4" width="20" customWidth="1"/>
    <col min="5" max="5" width="62" customWidth="1"/>
  </cols>
  <sheetData>
    <row r="1" spans="1:5" ht="27" customHeight="1">
      <c r="A1" s="4" t="s">
        <v>237</v>
      </c>
      <c r="B1" s="4"/>
      <c r="C1" s="4"/>
      <c r="D1" s="4"/>
      <c r="E1" s="4"/>
    </row>
    <row r="2" spans="1:5" ht="0.6" customHeight="1">
      <c r="A2" s="4"/>
      <c r="B2" s="4"/>
      <c r="C2" s="4"/>
      <c r="D2" s="4"/>
      <c r="E2" s="4"/>
    </row>
    <row r="3" spans="1:5" hidden="1">
      <c r="A3" s="27"/>
      <c r="B3" s="27"/>
      <c r="C3" s="27"/>
      <c r="D3" s="27"/>
      <c r="E3" s="27"/>
    </row>
    <row r="4" spans="1:5" ht="22.05" customHeight="1">
      <c r="A4" s="28" t="s">
        <v>238</v>
      </c>
      <c r="B4" s="29"/>
      <c r="C4" s="29"/>
      <c r="D4" s="29"/>
      <c r="E4" s="30"/>
    </row>
    <row r="5" spans="1:5" ht="28.05" customHeight="1">
      <c r="A5" s="1" t="s">
        <v>239</v>
      </c>
      <c r="B5" s="1" t="s">
        <v>240</v>
      </c>
      <c r="C5" s="1" t="s">
        <v>241</v>
      </c>
      <c r="D5" s="1" t="s">
        <v>242</v>
      </c>
      <c r="E5" s="1" t="s">
        <v>205</v>
      </c>
    </row>
    <row r="6" spans="1:5" ht="15" customHeight="1">
      <c r="A6" s="8" t="s">
        <v>243</v>
      </c>
      <c r="B6" s="8">
        <v>4</v>
      </c>
      <c r="C6" s="8">
        <v>8</v>
      </c>
      <c r="D6" s="8">
        <v>12</v>
      </c>
      <c r="E6" s="8" t="s">
        <v>244</v>
      </c>
    </row>
    <row r="7" spans="1:5" ht="15" customHeight="1">
      <c r="A7" s="8" t="s">
        <v>245</v>
      </c>
      <c r="B7" s="10" t="str">
        <f>IF(((B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B6*Assumptions!$C$46*Assumptions!$C$51*(Assumptions!$C$13*Assumptions!$C$17)))&lt;=0,"Beyond 5 years",IF(Assumptions!$C$34*(1+Assumptions!$C$35+Assumptions!$C$36+Assumptions!$C$37+Assumptions!$C$38+Assumptions!$C$39)/((B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B6*Assumptions!$C$46*Assumptions!$C$51*(Assumptions!$C$13*Assumptions!$C$17)))*12&gt;60,"Beyond 5 years",Assumptions!$C$34*(1+Assumptions!$C$35+Assumptions!$C$36+Assumptions!$C$37+Assumptions!$C$38+Assumptions!$C$39)/((B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B6*Assumptions!$C$46*Assumptions!$C$51*(Assumptions!$C$13*Assumptions!$C$17)))*12))</f>
        <v>Beyond 5 years</v>
      </c>
      <c r="C7" s="10">
        <f>IF(((C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C6*Assumptions!$C$46*Assumptions!$C$51*(Assumptions!$C$13*Assumptions!$C$17)))&lt;=0,"Beyond 5 years",IF(Assumptions!$C$34*(1+Assumptions!$C$35+Assumptions!$C$36+Assumptions!$C$37+Assumptions!$C$38+Assumptions!$C$39)/((C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C6*Assumptions!$C$46*Assumptions!$C$51*(Assumptions!$C$13*Assumptions!$C$17)))*12&gt;60,"Beyond 5 years",Assumptions!$C$34*(1+Assumptions!$C$35+Assumptions!$C$36+Assumptions!$C$37+Assumptions!$C$38+Assumptions!$C$39)/((C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C6*Assumptions!$C$46*Assumptions!$C$51*(Assumptions!$C$13*Assumptions!$C$17)))*12))</f>
        <v>35.055225163227412</v>
      </c>
      <c r="D7" s="10">
        <f>IF(((D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D6*Assumptions!$C$46*Assumptions!$C$51*(Assumptions!$C$13*Assumptions!$C$17)))&lt;=0,"Beyond 5 years",IF(Assumptions!$C$34*(1+Assumptions!$C$35+Assumptions!$C$36+Assumptions!$C$37+Assumptions!$C$38+Assumptions!$C$39)/((D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D6*Assumptions!$C$46*Assumptions!$C$51*(Assumptions!$C$13*Assumptions!$C$17)))*12&gt;60,"Beyond 5 years",Assumptions!$C$34*(1+Assumptions!$C$35+Assumptions!$C$36+Assumptions!$C$37+Assumptions!$C$38+Assumptions!$C$39)/((D6*Assumptions!$C$46*(Assumptions!$C$13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Assumptions!$C$13*Assumptions!$C$17)+D6*Assumptions!$C$46*Assumptions!$C$51*(Assumptions!$C$13*Assumptions!$C$17)))*12))</f>
        <v>20.682050521581615</v>
      </c>
      <c r="E7" s="8" t="s">
        <v>246</v>
      </c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 ht="15" customHeight="1">
      <c r="A10" s="28" t="s">
        <v>247</v>
      </c>
      <c r="B10" s="29"/>
      <c r="C10" s="29"/>
      <c r="D10" s="29"/>
      <c r="E10" s="30"/>
    </row>
    <row r="11" spans="1:5" ht="15" customHeight="1">
      <c r="A11" s="1" t="s">
        <v>239</v>
      </c>
      <c r="B11" s="1" t="s">
        <v>240</v>
      </c>
      <c r="C11" s="1" t="s">
        <v>241</v>
      </c>
      <c r="D11" s="1" t="s">
        <v>242</v>
      </c>
      <c r="E11" s="1" t="s">
        <v>205</v>
      </c>
    </row>
    <row r="12" spans="1:5" ht="15" customHeight="1">
      <c r="A12" s="8" t="s">
        <v>105</v>
      </c>
      <c r="B12" s="9">
        <v>80000</v>
      </c>
      <c r="C12" s="9">
        <v>100000</v>
      </c>
      <c r="D12" s="9">
        <v>125000</v>
      </c>
      <c r="E12" s="8" t="s">
        <v>248</v>
      </c>
    </row>
    <row r="13" spans="1:5" ht="15" customHeight="1">
      <c r="A13" s="8" t="s">
        <v>245</v>
      </c>
      <c r="B13" s="10">
        <f>IF(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B12*Assumptions!$C$10+Assumptions!$C$50*Assumptions!$C$46*(Assumptions!$C$13*Assumptions!$C$17)+Assumptions!$C$53*Assumptions!$C$46*Assumptions!$C$51*(Assumptions!$C$13*Assumptions!$C$17)))&lt;=0,"Beyond 5 years",IF(B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B12*Assumptions!$C$10+Assumptions!$C$50*Assumptions!$C$46*(Assumptions!$C$13*Assumptions!$C$17)+Assumptions!$C$53*Assumptions!$C$46*Assumptions!$C$51*(Assumptions!$C$13*Assumptions!$C$17)))*12&gt;60,"Beyond 5 years",B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B12*Assumptions!$C$10+Assumptions!$C$50*Assumptions!$C$46*(Assumptions!$C$13*Assumptions!$C$17)+Assumptions!$C$53*Assumptions!$C$46*Assumptions!$C$51*(Assumptions!$C$13*Assumptions!$C$17)))*12))</f>
        <v>27.525411581812602</v>
      </c>
      <c r="C13" s="10">
        <f>IF(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C12*Assumptions!$C$10+Assumptions!$C$50*Assumptions!$C$46*(Assumptions!$C$13*Assumptions!$C$17)+Assumptions!$C$53*Assumptions!$C$46*Assumptions!$C$51*(Assumptions!$C$13*Assumptions!$C$17)))&lt;=0,"Beyond 5 years",IF(C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C12*Assumptions!$C$10+Assumptions!$C$50*Assumptions!$C$46*(Assumptions!$C$13*Assumptions!$C$17)+Assumptions!$C$53*Assumptions!$C$46*Assumptions!$C$51*(Assumptions!$C$13*Assumptions!$C$17)))*12&gt;60,"Beyond 5 years",C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C12*Assumptions!$C$10+Assumptions!$C$50*Assumptions!$C$46*(Assumptions!$C$13*Assumptions!$C$17)+Assumptions!$C$53*Assumptions!$C$46*Assumptions!$C$51*(Assumptions!$C$13*Assumptions!$C$17)))*12))</f>
        <v>35.055225163227412</v>
      </c>
      <c r="D13" s="10">
        <f>IF(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D12*Assumptions!$C$10+Assumptions!$C$50*Assumptions!$C$46*(Assumptions!$C$13*Assumptions!$C$17)+Assumptions!$C$53*Assumptions!$C$46*Assumptions!$C$51*(Assumptions!$C$13*Assumptions!$C$17)))&lt;=0,"Beyond 5 years",IF(D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D12*Assumptions!$C$10+Assumptions!$C$50*Assumptions!$C$46*(Assumptions!$C$13*Assumptions!$C$17)+Assumptions!$C$53*Assumptions!$C$46*Assumptions!$C$51*(Assumptions!$C$13*Assumptions!$C$17)))*12&gt;60,"Beyond 5 years",D12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Assumptions!$C$45*Assumptions!$C$46*Assumptions!$C$8+D12*Assumptions!$C$10+Assumptions!$C$50*Assumptions!$C$46*(Assumptions!$C$13*Assumptions!$C$17)+Assumptions!$C$53*Assumptions!$C$46*Assumptions!$C$51*(Assumptions!$C$13*Assumptions!$C$17)))*12))</f>
        <v>44.876254027568272</v>
      </c>
      <c r="E13" s="8" t="s">
        <v>249</v>
      </c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 ht="15" customHeight="1">
      <c r="A16" s="28" t="s">
        <v>250</v>
      </c>
      <c r="B16" s="29"/>
      <c r="C16" s="29"/>
      <c r="D16" s="29"/>
      <c r="E16" s="30"/>
    </row>
    <row r="17" spans="1:5" ht="15" customHeight="1">
      <c r="A17" s="1" t="s">
        <v>239</v>
      </c>
      <c r="B17" s="1" t="s">
        <v>240</v>
      </c>
      <c r="C17" s="1" t="s">
        <v>241</v>
      </c>
      <c r="D17" s="1" t="s">
        <v>242</v>
      </c>
      <c r="E17" s="1" t="s">
        <v>205</v>
      </c>
    </row>
    <row r="18" spans="1:5" ht="15" customHeight="1">
      <c r="A18" s="8" t="s">
        <v>251</v>
      </c>
      <c r="B18" s="36">
        <v>3</v>
      </c>
      <c r="C18" s="36">
        <v>4</v>
      </c>
      <c r="D18" s="36">
        <v>5</v>
      </c>
      <c r="E18" s="8" t="s">
        <v>252</v>
      </c>
    </row>
    <row r="19" spans="1:5" ht="15" customHeight="1">
      <c r="A19" s="8" t="s">
        <v>245</v>
      </c>
      <c r="B19" s="10">
        <f>IF(((Assumptions!$C$53*Assumptions!$C$46*(Assumptions!$C$13*Assumptions!$C$17)+Assumptions!$C$22/Assumptions!$C$20*Assumptions!$C$9+Assumptions!$C$22*Assumptions!$C$27+Assumptions!$C$23+Assumptions!$C$26)-(Assumptions!$C$40+Assumptions!$C$41+B18*Assumptions!$C$46*Assumptions!$C$8+Assumptions!$C$34*Assumptions!$C$10+Assumptions!$C$50*Assumptions!$C$46*(Assumptions!$C$13*Assumptions!$C$17)+Assumptions!$C$53*Assumptions!$C$46*Assumptions!$C$51*(Assumptions!$C$13*Assumptions!$C$17)))&lt;=0,"Beyond 5 years",IF(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B18*Assumptions!$C$46*Assumptions!$C$8+Assumptions!$C$34*Assumptions!$C$10+Assumptions!$C$50*Assumptions!$C$46*(Assumptions!$C$13*Assumptions!$C$17)+Assumptions!$C$53*Assumptions!$C$46*Assumptions!$C$51*(Assumptions!$C$13*Assumptions!$C$17)))*12&gt;60,"Beyond 5 years",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B18*Assumptions!$C$46*Assumptions!$C$8+Assumptions!$C$34*Assumptions!$C$10+Assumptions!$C$50*Assumptions!$C$46*(Assumptions!$C$13*Assumptions!$C$17)+Assumptions!$C$53*Assumptions!$C$46*Assumptions!$C$51*(Assumptions!$C$13*Assumptions!$C$17)))*12))</f>
        <v>35.022916888096674</v>
      </c>
      <c r="C19" s="10">
        <f>IF(((Assumptions!$C$53*Assumptions!$C$46*(Assumptions!$C$13*Assumptions!$C$17)+Assumptions!$C$22/Assumptions!$C$20*Assumptions!$C$9+Assumptions!$C$22*Assumptions!$C$27+Assumptions!$C$23+Assumptions!$C$26)-(Assumptions!$C$40+Assumptions!$C$41+C18*Assumptions!$C$46*Assumptions!$C$8+Assumptions!$C$34*Assumptions!$C$10+Assumptions!$C$50*Assumptions!$C$46*(Assumptions!$C$13*Assumptions!$C$17)+Assumptions!$C$53*Assumptions!$C$46*Assumptions!$C$51*(Assumptions!$C$13*Assumptions!$C$17)))&lt;=0,"Beyond 5 years",IF(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C18*Assumptions!$C$46*Assumptions!$C$8+Assumptions!$C$34*Assumptions!$C$10+Assumptions!$C$50*Assumptions!$C$46*(Assumptions!$C$13*Assumptions!$C$17)+Assumptions!$C$53*Assumptions!$C$46*Assumptions!$C$51*(Assumptions!$C$13*Assumptions!$C$17)))*12&gt;60,"Beyond 5 years",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C18*Assumptions!$C$46*Assumptions!$C$8+Assumptions!$C$34*Assumptions!$C$10+Assumptions!$C$50*Assumptions!$C$46*(Assumptions!$C$13*Assumptions!$C$17)+Assumptions!$C$53*Assumptions!$C$46*Assumptions!$C$51*(Assumptions!$C$13*Assumptions!$C$17)))*12))</f>
        <v>35.055225163227412</v>
      </c>
      <c r="D19" s="10">
        <f>IF(((Assumptions!$C$53*Assumptions!$C$46*(Assumptions!$C$13*Assumptions!$C$17)+Assumptions!$C$22/Assumptions!$C$20*Assumptions!$C$9+Assumptions!$C$22*Assumptions!$C$27+Assumptions!$C$23+Assumptions!$C$26)-(Assumptions!$C$40+Assumptions!$C$41+D18*Assumptions!$C$46*Assumptions!$C$8+Assumptions!$C$34*Assumptions!$C$10+Assumptions!$C$50*Assumptions!$C$46*(Assumptions!$C$13*Assumptions!$C$17)+Assumptions!$C$53*Assumptions!$C$46*Assumptions!$C$51*(Assumptions!$C$13*Assumptions!$C$17)))&lt;=0,"Beyond 5 years",IF(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D18*Assumptions!$C$46*Assumptions!$C$8+Assumptions!$C$34*Assumptions!$C$10+Assumptions!$C$50*Assumptions!$C$46*(Assumptions!$C$13*Assumptions!$C$17)+Assumptions!$C$53*Assumptions!$C$46*Assumptions!$C$51*(Assumptions!$C$13*Assumptions!$C$17)))*12&gt;60,"Beyond 5 years",Assumptions!$C$34*(1+Assumptions!$C$35+Assumptions!$C$36+Assumptions!$C$37+Assumptions!$C$38+Assumptions!$C$39)/((Assumptions!$C$53*Assumptions!$C$46*(Assumptions!$C$13*Assumptions!$C$17)+Assumptions!$C$22/Assumptions!$C$20*Assumptions!$C$9+Assumptions!$C$22*Assumptions!$C$27+Assumptions!$C$23+Assumptions!$C$26)-(Assumptions!$C$40+Assumptions!$C$41+D18*Assumptions!$C$46*Assumptions!$C$8+Assumptions!$C$34*Assumptions!$C$10+Assumptions!$C$50*Assumptions!$C$46*(Assumptions!$C$13*Assumptions!$C$17)+Assumptions!$C$53*Assumptions!$C$46*Assumptions!$C$51*(Assumptions!$C$13*Assumptions!$C$17)))*12))</f>
        <v>35.087593101489688</v>
      </c>
      <c r="E19" s="8" t="s">
        <v>253</v>
      </c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 ht="15" customHeight="1">
      <c r="A22" s="28" t="s">
        <v>254</v>
      </c>
      <c r="B22" s="29"/>
      <c r="C22" s="29"/>
      <c r="D22" s="29"/>
      <c r="E22" s="30"/>
    </row>
    <row r="23" spans="1:5" ht="15" customHeight="1">
      <c r="A23" s="1" t="s">
        <v>239</v>
      </c>
      <c r="B23" s="1" t="s">
        <v>255</v>
      </c>
      <c r="C23" s="1" t="s">
        <v>256</v>
      </c>
      <c r="D23" s="1" t="s">
        <v>241</v>
      </c>
      <c r="E23" s="1" t="s">
        <v>205</v>
      </c>
    </row>
    <row r="24" spans="1:5" ht="15" customHeight="1">
      <c r="A24" s="8" t="s">
        <v>243</v>
      </c>
      <c r="B24" s="8">
        <v>8</v>
      </c>
      <c r="C24" s="8">
        <v>16</v>
      </c>
      <c r="D24" s="8">
        <v>24</v>
      </c>
      <c r="E24" s="8" t="s">
        <v>257</v>
      </c>
    </row>
    <row r="25" spans="1:5" ht="15" customHeight="1">
      <c r="A25" s="8" t="s">
        <v>245</v>
      </c>
      <c r="B25" s="10">
        <f>IF((B24*Assumptions!$C$65*(Assumptions!$C$13*Assumptions!$C$17)-(Assumptions!$C$63+Assumptions!$C$64*Assumptions!$C$65*Assumptions!$C$8+Assumptions!$C$57*Assumptions!$C$10+B24*Assumptions!$C$65*(Assumptions!$C$66+Assumptions!$C$67)*(Assumptions!$C$13*Assumptions!$C$17)))&lt;=0,"Beyond 5 years",IF(Assumptions!$C$57*(1+Assumptions!$C$58+Assumptions!$C$59+Assumptions!$C$60+Assumptions!$C$61+Assumptions!$C$62)/(B24*Assumptions!$C$65*(Assumptions!$C$13*Assumptions!$C$17)-(Assumptions!$C$63+Assumptions!$C$64*Assumptions!$C$65*Assumptions!$C$8+Assumptions!$C$57*Assumptions!$C$10+B24*Assumptions!$C$65*(Assumptions!$C$66+Assumptions!$C$67)*(Assumptions!$C$13*Assumptions!$C$17)))*12&gt;60,"Beyond 5 years",Assumptions!$C$57*(1+Assumptions!$C$58+Assumptions!$C$59+Assumptions!$C$60+Assumptions!$C$61+Assumptions!$C$62)/(B24*Assumptions!$C$65*(Assumptions!$C$13*Assumptions!$C$17)-(Assumptions!$C$63+Assumptions!$C$64*Assumptions!$C$65*Assumptions!$C$8+Assumptions!$C$57*Assumptions!$C$10+B24*Assumptions!$C$65*(Assumptions!$C$66+Assumptions!$C$67)*(Assumptions!$C$13*Assumptions!$C$17)))*12))</f>
        <v>28.791455027247366</v>
      </c>
      <c r="C25" s="10">
        <f>IF((C24*Assumptions!$C$65*(Assumptions!$C$13*Assumptions!$C$17)-(Assumptions!$C$63+Assumptions!$C$64*Assumptions!$C$65*Assumptions!$C$8+Assumptions!$C$57*Assumptions!$C$10+C24*Assumptions!$C$65*(Assumptions!$C$66+Assumptions!$C$67)*(Assumptions!$C$13*Assumptions!$C$17)))&lt;=0,"Beyond 5 years",IF(Assumptions!$C$57*(1+Assumptions!$C$58+Assumptions!$C$59+Assumptions!$C$60+Assumptions!$C$61+Assumptions!$C$62)/(C24*Assumptions!$C$65*(Assumptions!$C$13*Assumptions!$C$17)-(Assumptions!$C$63+Assumptions!$C$64*Assumptions!$C$65*Assumptions!$C$8+Assumptions!$C$57*Assumptions!$C$10+C24*Assumptions!$C$65*(Assumptions!$C$66+Assumptions!$C$67)*(Assumptions!$C$13*Assumptions!$C$17)))*12&gt;60,"Beyond 5 years",Assumptions!$C$57*(1+Assumptions!$C$58+Assumptions!$C$59+Assumptions!$C$60+Assumptions!$C$61+Assumptions!$C$62)/(C24*Assumptions!$C$65*(Assumptions!$C$13*Assumptions!$C$17)-(Assumptions!$C$63+Assumptions!$C$64*Assumptions!$C$65*Assumptions!$C$8+Assumptions!$C$57*Assumptions!$C$10+C24*Assumptions!$C$65*(Assumptions!$C$66+Assumptions!$C$67)*(Assumptions!$C$13*Assumptions!$C$17)))*12))</f>
        <v>12.068637001252348</v>
      </c>
      <c r="D25" s="10">
        <f>IF((D24*Assumptions!$C$65*(Assumptions!$C$13*Assumptions!$C$17)-(Assumptions!$C$63+Assumptions!$C$64*Assumptions!$C$65*Assumptions!$C$8+Assumptions!$C$57*Assumptions!$C$10+D24*Assumptions!$C$65*(Assumptions!$C$66+Assumptions!$C$67)*(Assumptions!$C$13*Assumptions!$C$17)))&lt;=0,"Beyond 5 years",IF(Assumptions!$C$57*(1+Assumptions!$C$58+Assumptions!$C$59+Assumptions!$C$60+Assumptions!$C$61+Assumptions!$C$62)/(D24*Assumptions!$C$65*(Assumptions!$C$13*Assumptions!$C$17)-(Assumptions!$C$63+Assumptions!$C$64*Assumptions!$C$65*Assumptions!$C$8+Assumptions!$C$57*Assumptions!$C$10+D24*Assumptions!$C$65*(Assumptions!$C$66+Assumptions!$C$67)*(Assumptions!$C$13*Assumptions!$C$17)))*12&gt;60,"Beyond 5 years",Assumptions!$C$57*(1+Assumptions!$C$58+Assumptions!$C$59+Assumptions!$C$60+Assumptions!$C$61+Assumptions!$C$62)/(D24*Assumptions!$C$65*(Assumptions!$C$13*Assumptions!$C$17)-(Assumptions!$C$63+Assumptions!$C$64*Assumptions!$C$65*Assumptions!$C$8+Assumptions!$C$57*Assumptions!$C$10+D24*Assumptions!$C$65*(Assumptions!$C$66+Assumptions!$C$67)*(Assumptions!$C$13*Assumptions!$C$17)))*12))</f>
        <v>7.6343879875936409</v>
      </c>
      <c r="E25" s="8" t="s">
        <v>258</v>
      </c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 ht="15" customHeight="1">
      <c r="A28" s="28" t="s">
        <v>259</v>
      </c>
      <c r="B28" s="29"/>
      <c r="C28" s="29"/>
      <c r="D28" s="29"/>
      <c r="E28" s="30"/>
    </row>
    <row r="29" spans="1:5" ht="15" customHeight="1">
      <c r="A29" s="1" t="s">
        <v>239</v>
      </c>
      <c r="B29" s="1" t="s">
        <v>240</v>
      </c>
      <c r="C29" s="1" t="s">
        <v>241</v>
      </c>
      <c r="D29" s="1" t="s">
        <v>242</v>
      </c>
      <c r="E29" s="1" t="s">
        <v>205</v>
      </c>
    </row>
    <row r="30" spans="1:5" ht="27.6">
      <c r="A30" s="8" t="s">
        <v>260</v>
      </c>
      <c r="B30" s="18">
        <v>18.28</v>
      </c>
      <c r="C30" s="18">
        <v>20.420000000000002</v>
      </c>
      <c r="D30" s="18">
        <v>28.29</v>
      </c>
      <c r="E30" s="8" t="s">
        <v>261</v>
      </c>
    </row>
    <row r="31" spans="1:5" ht="15" customHeight="1">
      <c r="A31" s="8" t="s">
        <v>262</v>
      </c>
      <c r="B31" s="10">
        <f>IF(((Assumptions!$C$53*Assumptions!$C$46*(B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B30*Assumptions!$C$17)+Assumptions!$C$53*Assumptions!$C$46*Assumptions!$C$51*(B30*Assumptions!$C$17)))&lt;=0,"Beyond 5 years",IF(Assumptions!$C$34*(1+Assumptions!$C$35+Assumptions!$C$36+Assumptions!$C$37+Assumptions!$C$38+Assumptions!$C$39)/((Assumptions!$C$53*Assumptions!$C$46*(B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B30*Assumptions!$C$17)+Assumptions!$C$53*Assumptions!$C$46*Assumptions!$C$51*(B30*Assumptions!$C$17)))*12&gt;60,"Beyond 5 years",Assumptions!$C$34*(1+Assumptions!$C$35+Assumptions!$C$36+Assumptions!$C$37+Assumptions!$C$38+Assumptions!$C$39)/((Assumptions!$C$53*Assumptions!$C$46*(B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B30*Assumptions!$C$17)+Assumptions!$C$53*Assumptions!$C$46*Assumptions!$C$51*(B30*Assumptions!$C$17)))*12))</f>
        <v>40.131737490846646</v>
      </c>
      <c r="C31" s="10">
        <f>IF(((Assumptions!$C$53*Assumptions!$C$46*(C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C30*Assumptions!$C$17)+Assumptions!$C$53*Assumptions!$C$46*Assumptions!$C$51*(C30*Assumptions!$C$17)))&lt;=0,"Beyond 5 years",IF(Assumptions!$C$34*(1+Assumptions!$C$35+Assumptions!$C$36+Assumptions!$C$37+Assumptions!$C$38+Assumptions!$C$39)/((Assumptions!$C$53*Assumptions!$C$46*(C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C30*Assumptions!$C$17)+Assumptions!$C$53*Assumptions!$C$46*Assumptions!$C$51*(C30*Assumptions!$C$17)))*12&gt;60,"Beyond 5 years",Assumptions!$C$34*(1+Assumptions!$C$35+Assumptions!$C$36+Assumptions!$C$37+Assumptions!$C$38+Assumptions!$C$39)/((Assumptions!$C$53*Assumptions!$C$46*(C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C30*Assumptions!$C$17)+Assumptions!$C$53*Assumptions!$C$46*Assumptions!$C$51*(C30*Assumptions!$C$17)))*12))</f>
        <v>35.055225163227412</v>
      </c>
      <c r="D31" s="10">
        <f>IF(((Assumptions!$C$53*Assumptions!$C$46*(D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D30*Assumptions!$C$17)+Assumptions!$C$53*Assumptions!$C$46*Assumptions!$C$51*(D30*Assumptions!$C$17)))&lt;=0,"Beyond 5 years",IF(Assumptions!$C$34*(1+Assumptions!$C$35+Assumptions!$C$36+Assumptions!$C$37+Assumptions!$C$38+Assumptions!$C$39)/((Assumptions!$C$53*Assumptions!$C$46*(D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D30*Assumptions!$C$17)+Assumptions!$C$53*Assumptions!$C$46*Assumptions!$C$51*(D30*Assumptions!$C$17)))*12&gt;60,"Beyond 5 years",Assumptions!$C$34*(1+Assumptions!$C$35+Assumptions!$C$36+Assumptions!$C$37+Assumptions!$C$38+Assumptions!$C$39)/((Assumptions!$C$53*Assumptions!$C$46*(D30*Assumptions!$C$17)+Assumptions!$C$22/Assumptions!$C$20*Assumptions!$C$9+Assumptions!$C$22*Assumptions!$C$27+Assumptions!$C$23+Assumptions!$C$26)-(Assumptions!$C$40+Assumptions!$C$41+Assumptions!$C$45*Assumptions!$C$46*Assumptions!$C$8+Assumptions!$C$34*Assumptions!$C$10+Assumptions!$C$50*Assumptions!$C$46*(D30*Assumptions!$C$17)+Assumptions!$C$53*Assumptions!$C$46*Assumptions!$C$51*(D30*Assumptions!$C$17)))*12))</f>
        <v>23.925237219657355</v>
      </c>
      <c r="E31" s="8" t="s">
        <v>249</v>
      </c>
    </row>
    <row r="32" spans="1:5" ht="15" customHeight="1">
      <c r="A32" s="8" t="s">
        <v>263</v>
      </c>
      <c r="B32" s="10">
        <f>IF((Assumptions!$C$69*Assumptions!$C$65*(B30*Assumptions!$C$17)-(Assumptions!$C$63+Assumptions!$C$64*Assumptions!$C$65*Assumptions!$C$8+Assumptions!$C$57*Assumptions!$C$10+Assumptions!$C$69*Assumptions!$C$65*(Assumptions!$C$66+Assumptions!$C$67)*(B30*Assumptions!$C$17)))&lt;=0,"Beyond 5 years",IF(Assumptions!$C$57*(1+Assumptions!$C$58+Assumptions!$C$59+Assumptions!$C$60+Assumptions!$C$61+Assumptions!$C$62)/(Assumptions!$C$69*Assumptions!$C$65*(B30*Assumptions!$C$17)-(Assumptions!$C$63+Assumptions!$C$64*Assumptions!$C$65*Assumptions!$C$8+Assumptions!$C$57*Assumptions!$C$10+Assumptions!$C$69*Assumptions!$C$65*(Assumptions!$C$66+Assumptions!$C$67)*(B30*Assumptions!$C$17)))*12&gt;60,"Beyond 5 years",Assumptions!$C$57*(1+Assumptions!$C$58+Assumptions!$C$59+Assumptions!$C$60+Assumptions!$C$61+Assumptions!$C$62)/(Assumptions!$C$69*Assumptions!$C$65*(B30*Assumptions!$C$17)-(Assumptions!$C$63+Assumptions!$C$64*Assumptions!$C$65*Assumptions!$C$8+Assumptions!$C$57*Assumptions!$C$10+Assumptions!$C$69*Assumptions!$C$65*(Assumptions!$C$66+Assumptions!$C$67)*(B30*Assumptions!$C$17)))*12))</f>
        <v>8.6314570927308871</v>
      </c>
      <c r="C32" s="10">
        <f>IF((Assumptions!$C$69*Assumptions!$C$65*(C30*Assumptions!$C$17)-(Assumptions!$C$63+Assumptions!$C$64*Assumptions!$C$65*Assumptions!$C$8+Assumptions!$C$57*Assumptions!$C$10+Assumptions!$C$69*Assumptions!$C$65*(Assumptions!$C$66+Assumptions!$C$67)*(C30*Assumptions!$C$17)))&lt;=0,"Beyond 5 years",IF(Assumptions!$C$57*(1+Assumptions!$C$58+Assumptions!$C$59+Assumptions!$C$60+Assumptions!$C$61+Assumptions!$C$62)/(Assumptions!$C$69*Assumptions!$C$65*(C30*Assumptions!$C$17)-(Assumptions!$C$63+Assumptions!$C$64*Assumptions!$C$65*Assumptions!$C$8+Assumptions!$C$57*Assumptions!$C$10+Assumptions!$C$69*Assumptions!$C$65*(Assumptions!$C$66+Assumptions!$C$67)*(C30*Assumptions!$C$17)))*12&gt;60,"Beyond 5 years",Assumptions!$C$57*(1+Assumptions!$C$58+Assumptions!$C$59+Assumptions!$C$60+Assumptions!$C$61+Assumptions!$C$62)/(Assumptions!$C$69*Assumptions!$C$65*(C30*Assumptions!$C$17)-(Assumptions!$C$63+Assumptions!$C$64*Assumptions!$C$65*Assumptions!$C$8+Assumptions!$C$57*Assumptions!$C$10+Assumptions!$C$69*Assumptions!$C$65*(Assumptions!$C$66+Assumptions!$C$67)*(C30*Assumptions!$C$17)))*12))</f>
        <v>7.6343879875936409</v>
      </c>
      <c r="D32" s="10">
        <f>IF((Assumptions!$C$69*Assumptions!$C$65*(D30*Assumptions!$C$17)-(Assumptions!$C$63+Assumptions!$C$64*Assumptions!$C$65*Assumptions!$C$8+Assumptions!$C$57*Assumptions!$C$10+Assumptions!$C$69*Assumptions!$C$65*(Assumptions!$C$66+Assumptions!$C$67)*(D30*Assumptions!$C$17)))&lt;=0,"Beyond 5 years",IF(Assumptions!$C$57*(1+Assumptions!$C$58+Assumptions!$C$59+Assumptions!$C$60+Assumptions!$C$61+Assumptions!$C$62)/(Assumptions!$C$69*Assumptions!$C$65*(D30*Assumptions!$C$17)-(Assumptions!$C$63+Assumptions!$C$64*Assumptions!$C$65*Assumptions!$C$8+Assumptions!$C$57*Assumptions!$C$10+Assumptions!$C$69*Assumptions!$C$65*(Assumptions!$C$66+Assumptions!$C$67)*(D30*Assumptions!$C$17)))*12&gt;60,"Beyond 5 years",Assumptions!$C$57*(1+Assumptions!$C$58+Assumptions!$C$59+Assumptions!$C$60+Assumptions!$C$61+Assumptions!$C$62)/(Assumptions!$C$69*Assumptions!$C$65*(D30*Assumptions!$C$17)-(Assumptions!$C$63+Assumptions!$C$64*Assumptions!$C$65*Assumptions!$C$8+Assumptions!$C$57*Assumptions!$C$10+Assumptions!$C$69*Assumptions!$C$65*(Assumptions!$C$66+Assumptions!$C$67)*(D30*Assumptions!$C$17)))*12))</f>
        <v>5.3581525636396439</v>
      </c>
      <c r="E32" s="8" t="s">
        <v>264</v>
      </c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 ht="15" customHeight="1">
      <c r="A35" s="28" t="s">
        <v>265</v>
      </c>
      <c r="B35" s="29"/>
      <c r="C35" s="29"/>
      <c r="D35" s="29"/>
      <c r="E35" s="30"/>
    </row>
    <row r="36" spans="1:5" ht="27.6" customHeight="1">
      <c r="A36" s="8" t="s">
        <v>266</v>
      </c>
      <c r="B36" s="37" t="s">
        <v>267</v>
      </c>
      <c r="C36" s="38"/>
      <c r="D36" s="39"/>
      <c r="E36" s="8" t="s">
        <v>268</v>
      </c>
    </row>
    <row r="37" spans="1:5" ht="26.4" customHeight="1">
      <c r="A37" s="8" t="s">
        <v>269</v>
      </c>
      <c r="B37" s="37" t="s">
        <v>270</v>
      </c>
      <c r="C37" s="38"/>
      <c r="D37" s="39"/>
      <c r="E37" s="8" t="s">
        <v>271</v>
      </c>
    </row>
  </sheetData>
  <mergeCells count="9">
    <mergeCell ref="B37:D37"/>
    <mergeCell ref="A22:E22"/>
    <mergeCell ref="A28:E28"/>
    <mergeCell ref="A35:E35"/>
    <mergeCell ref="A1:E3"/>
    <mergeCell ref="B36:D36"/>
    <mergeCell ref="A4:E4"/>
    <mergeCell ref="A10:E10"/>
    <mergeCell ref="A16:E16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C26" sqref="C26"/>
    </sheetView>
  </sheetViews>
  <sheetFormatPr defaultRowHeight="13.8"/>
  <cols>
    <col min="1" max="1" width="34" customWidth="1"/>
    <col min="2" max="4" width="16" customWidth="1"/>
    <col min="5" max="6" width="12" customWidth="1"/>
    <col min="7" max="7" width="46" customWidth="1"/>
  </cols>
  <sheetData>
    <row r="1" spans="1:7" ht="22.2" customHeight="1">
      <c r="A1" s="4" t="s">
        <v>272</v>
      </c>
      <c r="B1" s="4"/>
      <c r="C1" s="4"/>
      <c r="D1" s="4"/>
      <c r="E1" s="4"/>
      <c r="F1" s="4"/>
      <c r="G1" s="4"/>
    </row>
    <row r="2" spans="1:7" ht="0.6" customHeight="1">
      <c r="A2" s="4"/>
      <c r="B2" s="4"/>
      <c r="C2" s="4"/>
      <c r="D2" s="4"/>
      <c r="E2" s="4"/>
      <c r="F2" s="4"/>
      <c r="G2" s="4"/>
    </row>
    <row r="3" spans="1:7" hidden="1">
      <c r="A3" s="4"/>
      <c r="B3" s="4"/>
      <c r="C3" s="4"/>
      <c r="D3" s="4"/>
      <c r="E3" s="4"/>
      <c r="F3" s="4"/>
      <c r="G3" s="4"/>
    </row>
    <row r="4" spans="1:7" hidden="1">
      <c r="A4" s="27"/>
      <c r="B4" s="27"/>
      <c r="C4" s="27"/>
      <c r="D4" s="27"/>
      <c r="E4" s="27"/>
      <c r="F4" s="27"/>
      <c r="G4" s="27"/>
    </row>
    <row r="5" spans="1:7" ht="28.05" customHeight="1">
      <c r="A5" s="1" t="s">
        <v>273</v>
      </c>
      <c r="B5" s="1" t="s">
        <v>274</v>
      </c>
      <c r="C5" s="1" t="s">
        <v>275</v>
      </c>
      <c r="D5" s="1" t="s">
        <v>276</v>
      </c>
      <c r="E5" s="1" t="s">
        <v>277</v>
      </c>
      <c r="F5" s="1" t="s">
        <v>278</v>
      </c>
      <c r="G5" s="1" t="s">
        <v>279</v>
      </c>
    </row>
    <row r="6" spans="1:7">
      <c r="A6" s="8" t="s">
        <v>280</v>
      </c>
      <c r="B6" s="21">
        <f>'Aido Rover'!B43</f>
        <v>346631.91999339301</v>
      </c>
      <c r="C6" s="21">
        <f>SUM('Aido Rover'!B20:F20)</f>
        <v>346631.91999339301</v>
      </c>
      <c r="D6" s="21">
        <f t="shared" ref="D6:D13" si="0">B6-C6</f>
        <v>0</v>
      </c>
      <c r="E6" s="21">
        <v>0.01</v>
      </c>
      <c r="F6" s="8" t="str">
        <f t="shared" ref="F6:F13" si="1">IF(ABS(D6)&lt;=E6,"PASS","FAIL")</f>
        <v>PASS</v>
      </c>
      <c r="G6" s="8" t="s">
        <v>281</v>
      </c>
    </row>
    <row r="7" spans="1:7" ht="27.6">
      <c r="A7" s="8" t="s">
        <v>282</v>
      </c>
      <c r="B7" s="21">
        <f>'Aido Rover'!B44</f>
        <v>450137.02008759545</v>
      </c>
      <c r="C7" s="21">
        <f>SUM('Aido Rover'!B28:F28)</f>
        <v>450137.02008759545</v>
      </c>
      <c r="D7" s="21">
        <f t="shared" si="0"/>
        <v>0</v>
      </c>
      <c r="E7" s="21">
        <v>0.01</v>
      </c>
      <c r="F7" s="8" t="str">
        <f t="shared" si="1"/>
        <v>PASS</v>
      </c>
      <c r="G7" s="8" t="s">
        <v>283</v>
      </c>
    </row>
    <row r="8" spans="1:7" ht="27.6">
      <c r="A8" s="8" t="s">
        <v>284</v>
      </c>
      <c r="B8" s="21">
        <f>COUNTIF('Aido Rover'!B16:F16,"&gt;0")</f>
        <v>2</v>
      </c>
      <c r="C8" s="21">
        <v>2</v>
      </c>
      <c r="D8" s="21">
        <f t="shared" si="0"/>
        <v>0</v>
      </c>
      <c r="E8" s="21">
        <v>0</v>
      </c>
      <c r="F8" s="8" t="str">
        <f t="shared" si="1"/>
        <v>PASS</v>
      </c>
      <c r="G8" s="8" t="s">
        <v>285</v>
      </c>
    </row>
    <row r="9" spans="1:7" ht="27.6">
      <c r="A9" s="8" t="s">
        <v>286</v>
      </c>
      <c r="B9" s="23">
        <f>Assumptions!C45</f>
        <v>4</v>
      </c>
      <c r="C9" s="23">
        <f>Assumptions!C42*Assumptions!C43/Assumptions!C44</f>
        <v>4</v>
      </c>
      <c r="D9" s="21">
        <f t="shared" si="0"/>
        <v>0</v>
      </c>
      <c r="E9" s="21">
        <v>0.01</v>
      </c>
      <c r="F9" s="8" t="str">
        <f t="shared" si="1"/>
        <v>PASS</v>
      </c>
      <c r="G9" s="8" t="s">
        <v>287</v>
      </c>
    </row>
    <row r="10" spans="1:7" ht="27.6">
      <c r="A10" s="8" t="s">
        <v>288</v>
      </c>
      <c r="B10" s="21">
        <f>Assumptions!C22*Assumptions!C19</f>
        <v>7299.9999999999991</v>
      </c>
      <c r="C10" s="21">
        <f>Assumptions!C48</f>
        <v>7300</v>
      </c>
      <c r="D10" s="21">
        <f t="shared" si="0"/>
        <v>0</v>
      </c>
      <c r="E10" s="21">
        <v>0.01</v>
      </c>
      <c r="F10" s="8" t="str">
        <f t="shared" si="1"/>
        <v>PASS</v>
      </c>
      <c r="G10" s="8" t="s">
        <v>289</v>
      </c>
    </row>
    <row r="11" spans="1:7">
      <c r="A11" s="8" t="s">
        <v>290</v>
      </c>
      <c r="B11" s="21">
        <f>COUNTIF('Aido Rover'!B19:F19,"&lt;0")</f>
        <v>1</v>
      </c>
      <c r="C11" s="21">
        <v>1</v>
      </c>
      <c r="D11" s="21">
        <f t="shared" si="0"/>
        <v>0</v>
      </c>
      <c r="E11" s="21">
        <v>0</v>
      </c>
      <c r="F11" s="8" t="str">
        <f t="shared" si="1"/>
        <v>PASS</v>
      </c>
      <c r="G11" s="8" t="s">
        <v>291</v>
      </c>
    </row>
    <row r="12" spans="1:7">
      <c r="A12" s="8" t="s">
        <v>292</v>
      </c>
      <c r="B12" s="21">
        <f>'Sentinel Prime AI'!B36</f>
        <v>509446.8888392169</v>
      </c>
      <c r="C12" s="21">
        <f>SUM('Sentinel Prime AI'!B19:F19)</f>
        <v>509446.8888392169</v>
      </c>
      <c r="D12" s="21">
        <f t="shared" si="0"/>
        <v>0</v>
      </c>
      <c r="E12" s="21">
        <v>0.01</v>
      </c>
      <c r="F12" s="8" t="str">
        <f t="shared" si="1"/>
        <v>PASS</v>
      </c>
      <c r="G12" s="8" t="s">
        <v>293</v>
      </c>
    </row>
    <row r="13" spans="1:7" ht="27.6">
      <c r="A13" s="8" t="s">
        <v>294</v>
      </c>
      <c r="B13" s="21">
        <f>COUNTIF('Sentinel Prime AI'!B13:F13,"&gt;0")</f>
        <v>5</v>
      </c>
      <c r="C13" s="21">
        <v>5</v>
      </c>
      <c r="D13" s="21">
        <f t="shared" si="0"/>
        <v>0</v>
      </c>
      <c r="E13" s="21">
        <v>0</v>
      </c>
      <c r="F13" s="8" t="str">
        <f t="shared" si="1"/>
        <v>PASS</v>
      </c>
      <c r="G13" s="8" t="s">
        <v>295</v>
      </c>
    </row>
    <row r="16" spans="1:7" ht="15" customHeight="1">
      <c r="A16" s="40" t="s">
        <v>296</v>
      </c>
      <c r="B16" s="41"/>
      <c r="C16" s="41"/>
      <c r="D16" s="41"/>
      <c r="E16" s="42"/>
      <c r="F16" s="40" t="str">
        <f>IF(COUNTIF(F6:F13,"FAIL")=0,"PASS","FAIL")</f>
        <v>PASS</v>
      </c>
      <c r="G16" s="42"/>
    </row>
    <row r="17" ht="15" customHeight="1"/>
  </sheetData>
  <mergeCells count="3">
    <mergeCell ref="F16:G16"/>
    <mergeCell ref="A1:G4"/>
    <mergeCell ref="A16:E16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tabSelected="1" workbookViewId="0">
      <selection activeCell="C21" sqref="C21"/>
    </sheetView>
  </sheetViews>
  <sheetFormatPr defaultRowHeight="13.8"/>
  <cols>
    <col min="1" max="1" width="10" customWidth="1"/>
    <col min="2" max="2" width="29" customWidth="1"/>
    <col min="3" max="3" width="20" customWidth="1"/>
    <col min="4" max="4" width="13" customWidth="1"/>
    <col min="5" max="5" width="26" customWidth="1"/>
    <col min="6" max="6" width="58" customWidth="1"/>
    <col min="7" max="7" width="44" customWidth="1"/>
  </cols>
  <sheetData>
    <row r="1" spans="1:7" ht="24.6" customHeight="1">
      <c r="A1" s="4" t="s">
        <v>297</v>
      </c>
      <c r="B1" s="4"/>
      <c r="C1" s="4"/>
      <c r="D1" s="4"/>
      <c r="E1" s="4"/>
      <c r="F1" s="4"/>
      <c r="G1" s="4"/>
    </row>
    <row r="2" spans="1:7" ht="19.8" hidden="1" customHeight="1">
      <c r="A2" s="4"/>
      <c r="B2" s="4"/>
      <c r="C2" s="4"/>
      <c r="D2" s="4"/>
      <c r="E2" s="4"/>
      <c r="F2" s="4"/>
      <c r="G2" s="4"/>
    </row>
    <row r="3" spans="1:7" hidden="1">
      <c r="A3" s="4"/>
      <c r="B3" s="4"/>
      <c r="C3" s="4"/>
      <c r="D3" s="4"/>
      <c r="E3" s="4"/>
      <c r="F3" s="4"/>
      <c r="G3" s="4"/>
    </row>
    <row r="4" spans="1:7" hidden="1">
      <c r="A4" s="27"/>
      <c r="B4" s="27"/>
      <c r="C4" s="27"/>
      <c r="D4" s="27"/>
      <c r="E4" s="27"/>
      <c r="F4" s="27"/>
      <c r="G4" s="27"/>
    </row>
    <row r="5" spans="1:7" ht="28.05" customHeight="1">
      <c r="A5" s="1" t="s">
        <v>25</v>
      </c>
      <c r="B5" s="1" t="s">
        <v>298</v>
      </c>
      <c r="C5" s="1" t="s">
        <v>299</v>
      </c>
      <c r="D5" s="1" t="s">
        <v>300</v>
      </c>
      <c r="E5" s="1" t="s">
        <v>301</v>
      </c>
      <c r="F5" s="1" t="s">
        <v>302</v>
      </c>
      <c r="G5" s="1" t="s">
        <v>279</v>
      </c>
    </row>
    <row r="6" spans="1:7" ht="27.6">
      <c r="A6" s="8" t="s">
        <v>54</v>
      </c>
      <c r="B6" s="8" t="s">
        <v>303</v>
      </c>
      <c r="C6" s="8" t="s">
        <v>304</v>
      </c>
      <c r="D6" s="8" t="s">
        <v>305</v>
      </c>
      <c r="E6" s="8" t="s">
        <v>306</v>
      </c>
      <c r="F6" s="8" t="s">
        <v>307</v>
      </c>
      <c r="G6" s="8" t="s">
        <v>308</v>
      </c>
    </row>
    <row r="7" spans="1:7" ht="41.4">
      <c r="A7" s="8" t="s">
        <v>61</v>
      </c>
      <c r="B7" s="8" t="s">
        <v>309</v>
      </c>
      <c r="C7" s="8" t="s">
        <v>310</v>
      </c>
      <c r="D7" s="8" t="s">
        <v>311</v>
      </c>
      <c r="E7" s="8" t="s">
        <v>312</v>
      </c>
      <c r="F7" s="8" t="s">
        <v>313</v>
      </c>
      <c r="G7" s="8" t="s">
        <v>314</v>
      </c>
    </row>
    <row r="8" spans="1:7" ht="27.6">
      <c r="A8" s="8" t="s">
        <v>40</v>
      </c>
      <c r="B8" s="8" t="s">
        <v>315</v>
      </c>
      <c r="C8" s="8" t="s">
        <v>316</v>
      </c>
      <c r="D8" s="8" t="s">
        <v>317</v>
      </c>
      <c r="E8" s="8" t="s">
        <v>318</v>
      </c>
      <c r="F8" s="8" t="s">
        <v>319</v>
      </c>
      <c r="G8" s="8" t="s">
        <v>320</v>
      </c>
    </row>
    <row r="9" spans="1:7" ht="27.6">
      <c r="A9" s="8" t="s">
        <v>44</v>
      </c>
      <c r="B9" s="8" t="s">
        <v>321</v>
      </c>
      <c r="C9" s="8" t="s">
        <v>322</v>
      </c>
      <c r="D9" s="8" t="s">
        <v>317</v>
      </c>
      <c r="E9" s="8" t="s">
        <v>323</v>
      </c>
      <c r="F9" s="8" t="s">
        <v>324</v>
      </c>
      <c r="G9" s="8" t="s">
        <v>325</v>
      </c>
    </row>
    <row r="10" spans="1:7" ht="27.6">
      <c r="A10" s="8" t="s">
        <v>80</v>
      </c>
      <c r="B10" s="8" t="s">
        <v>326</v>
      </c>
      <c r="C10" s="8" t="s">
        <v>327</v>
      </c>
      <c r="D10" s="8" t="s">
        <v>328</v>
      </c>
      <c r="E10" s="8" t="s">
        <v>329</v>
      </c>
      <c r="F10" s="8" t="s">
        <v>330</v>
      </c>
      <c r="G10" s="8" t="s">
        <v>331</v>
      </c>
    </row>
    <row r="11" spans="1:7" ht="41.4">
      <c r="A11" s="8" t="s">
        <v>90</v>
      </c>
      <c r="B11" s="8" t="s">
        <v>332</v>
      </c>
      <c r="C11" s="8" t="s">
        <v>333</v>
      </c>
      <c r="D11" s="8" t="s">
        <v>317</v>
      </c>
      <c r="E11" s="8" t="s">
        <v>334</v>
      </c>
      <c r="F11" s="8" t="s">
        <v>335</v>
      </c>
      <c r="G11" s="8" t="s">
        <v>336</v>
      </c>
    </row>
    <row r="12" spans="1:7" ht="27.6">
      <c r="A12" s="8" t="s">
        <v>108</v>
      </c>
      <c r="B12" s="8" t="s">
        <v>337</v>
      </c>
      <c r="C12" s="8" t="s">
        <v>338</v>
      </c>
      <c r="D12" s="8" t="s">
        <v>339</v>
      </c>
      <c r="E12" s="8" t="s">
        <v>340</v>
      </c>
      <c r="F12" s="8" t="s">
        <v>341</v>
      </c>
      <c r="G12" s="8" t="s">
        <v>342</v>
      </c>
    </row>
    <row r="13" spans="1:7" ht="27.6">
      <c r="A13" s="8" t="s">
        <v>127</v>
      </c>
      <c r="B13" s="8" t="s">
        <v>343</v>
      </c>
      <c r="C13" s="8" t="s">
        <v>344</v>
      </c>
      <c r="D13" s="8" t="s">
        <v>345</v>
      </c>
      <c r="E13" s="8" t="s">
        <v>346</v>
      </c>
      <c r="F13" s="8" t="s">
        <v>347</v>
      </c>
      <c r="G13" s="8" t="s">
        <v>348</v>
      </c>
    </row>
    <row r="14" spans="1:7" ht="27.6">
      <c r="A14" s="8" t="s">
        <v>162</v>
      </c>
      <c r="B14" s="8" t="s">
        <v>349</v>
      </c>
      <c r="C14" s="8" t="s">
        <v>350</v>
      </c>
      <c r="D14" s="8" t="s">
        <v>351</v>
      </c>
      <c r="E14" s="8" t="s">
        <v>352</v>
      </c>
      <c r="F14" s="8" t="s">
        <v>353</v>
      </c>
      <c r="G14" s="8" t="s">
        <v>354</v>
      </c>
    </row>
    <row r="15" spans="1:7" ht="55.2">
      <c r="A15" s="8" t="s">
        <v>31</v>
      </c>
      <c r="B15" s="8" t="s">
        <v>355</v>
      </c>
      <c r="C15" s="8" t="s">
        <v>356</v>
      </c>
      <c r="D15" s="8" t="s">
        <v>357</v>
      </c>
      <c r="E15" s="8" t="s">
        <v>358</v>
      </c>
      <c r="F15" s="8"/>
      <c r="G15" s="8" t="s">
        <v>359</v>
      </c>
    </row>
  </sheetData>
  <mergeCells count="1">
    <mergeCell ref="A1:G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Aido Rover</vt:lpstr>
      <vt:lpstr>Sentinel Prime AI</vt:lpstr>
      <vt:lpstr>Sensitivity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2026-07-27T16:40:01Z</dcterms:modified>
</cp:coreProperties>
</file>
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Desktop\美国单子\实习生实习\W3\"/>
    </mc:Choice>
  </mc:AlternateContent>
  <xr:revisionPtr revIDLastSave="0" documentId="13_ncr:1_{7AFCF02A-F3D7-474C-A609-041FE45B4B78}" xr6:coauthVersionLast="47" xr6:coauthVersionMax="47" xr10:uidLastSave="{00000000-0000-0000-0000-000000000000}"/>
  <bookViews>
    <workbookView xWindow="9132" yWindow="708" windowWidth="25944" windowHeight="15828" activeTab="5" xr2:uid="{00000000-000D-0000-FFFF-FFFF00000000}"/>
  </bookViews>
  <sheets>
    <sheet name="Overview" sheetId="1" r:id="rId1"/>
    <sheet name="Assumptions" sheetId="2" r:id="rId2"/>
    <sheet name="Fari" sheetId="3" r:id="rId3"/>
    <sheet name="Senpai" sheetId="4" r:id="rId4"/>
    <sheet name="Sentinel" sheetId="5" r:id="rId5"/>
    <sheet name="Checks" sheetId="6" r:id="rId6"/>
    <sheet name="Source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" i="6" l="1"/>
  <c r="D11" i="6" s="1"/>
  <c r="C10" i="6"/>
  <c r="C9" i="6"/>
  <c r="D10" i="6"/>
  <c r="D9" i="6"/>
  <c r="F9" i="6" s="1"/>
  <c r="B9" i="6"/>
  <c r="B30" i="5"/>
  <c r="C23" i="5"/>
  <c r="B10" i="6" s="1"/>
  <c r="F22" i="5"/>
  <c r="F21" i="5"/>
  <c r="F20" i="5"/>
  <c r="F19" i="5"/>
  <c r="F18" i="5"/>
  <c r="F17" i="5"/>
  <c r="F16" i="5"/>
  <c r="F15" i="5"/>
  <c r="F14" i="5"/>
  <c r="F13" i="5"/>
  <c r="F23" i="5" s="1"/>
  <c r="B29" i="5" s="1"/>
  <c r="E8" i="5"/>
  <c r="D8" i="5"/>
  <c r="B8" i="5"/>
  <c r="F8" i="5" s="1"/>
  <c r="F14" i="1" s="1"/>
  <c r="J8" i="1" s="1"/>
  <c r="E7" i="5"/>
  <c r="E13" i="1" s="1"/>
  <c r="D7" i="5"/>
  <c r="C7" i="5"/>
  <c r="B7" i="5"/>
  <c r="F7" i="5" s="1"/>
  <c r="F13" i="1" s="1"/>
  <c r="E6" i="5"/>
  <c r="E12" i="1" s="1"/>
  <c r="C6" i="5"/>
  <c r="B6" i="5"/>
  <c r="C12" i="1" s="1"/>
  <c r="D8" i="4"/>
  <c r="E11" i="1" s="1"/>
  <c r="C8" i="4"/>
  <c r="B8" i="4"/>
  <c r="C11" i="1" s="1"/>
  <c r="D7" i="4"/>
  <c r="E10" i="1" s="1"/>
  <c r="C7" i="4"/>
  <c r="B7" i="4"/>
  <c r="E7" i="4" s="1"/>
  <c r="F10" i="1" s="1"/>
  <c r="D6" i="4"/>
  <c r="E9" i="1" s="1"/>
  <c r="C6" i="4"/>
  <c r="B6" i="4"/>
  <c r="C14" i="3"/>
  <c r="D8" i="3"/>
  <c r="E8" i="1" s="1"/>
  <c r="C8" i="3"/>
  <c r="B8" i="3"/>
  <c r="E8" i="3" s="1"/>
  <c r="F8" i="1" s="1"/>
  <c r="J6" i="1" s="1"/>
  <c r="D7" i="3"/>
  <c r="E7" i="1" s="1"/>
  <c r="C7" i="3"/>
  <c r="B7" i="3"/>
  <c r="C6" i="3"/>
  <c r="B6" i="3"/>
  <c r="C38" i="2"/>
  <c r="C30" i="2"/>
  <c r="D6" i="5" s="1"/>
  <c r="C13" i="2"/>
  <c r="B11" i="6" s="1"/>
  <c r="E14" i="1"/>
  <c r="F10" i="6" l="1"/>
  <c r="F16" i="6"/>
  <c r="F11" i="6"/>
  <c r="B7" i="6"/>
  <c r="C7" i="1"/>
  <c r="E6" i="4"/>
  <c r="F9" i="1" s="1"/>
  <c r="E8" i="4"/>
  <c r="F11" i="1" s="1"/>
  <c r="J7" i="1" s="1"/>
  <c r="D7" i="6"/>
  <c r="F7" i="6"/>
  <c r="C14" i="1"/>
  <c r="E7" i="3"/>
  <c r="F7" i="1" s="1"/>
  <c r="B8" i="6"/>
  <c r="B28" i="5"/>
  <c r="C8" i="1"/>
  <c r="F6" i="5"/>
  <c r="F12" i="1" s="1"/>
  <c r="B6" i="6"/>
  <c r="D6" i="3"/>
  <c r="E6" i="1" s="1"/>
  <c r="C6" i="1"/>
  <c r="C9" i="1"/>
  <c r="C13" i="1"/>
  <c r="C10" i="1"/>
  <c r="C8" i="5"/>
  <c r="B12" i="6"/>
  <c r="F6" i="6" l="1"/>
  <c r="D6" i="6"/>
  <c r="F8" i="6"/>
  <c r="D8" i="6"/>
  <c r="F12" i="6"/>
  <c r="D12" i="6"/>
  <c r="E6" i="3"/>
  <c r="F6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tc={648ECC48-CF2F-C51E-7B74-585738C50C93}</author>
    <author>tc={9F8A724C-0584-D366-D352-A92A1F819B5C}</author>
    <author>tc={44327DB3-509F-58AE-D481-9661885663E8}</author>
    <author>tc={60275CE2-D29E-CD6F-70FD-8FD3C8874DA0}</author>
    <author>tc={4CE71038-2710-21ED-1F6F-DD6E7AFFE0E6}</author>
    <author>tc={57641098-C267-278A-0EE9-415F864E0AE8}</author>
    <author>tc={EA7E64D2-6B7B-D73D-B610-5C5787D158EC}</author>
    <author>tc={83FAB18D-8371-80F9-AE56-0F227D6E86CC}</author>
  </authors>
  <commentList>
    <comment ref="C12" authorId="0" shapeId="0" xr:uid="{00000000-0006-0000-0100-000001000000}">
      <text>
        <r>
          <rPr>
            <sz val="11"/>
            <rFont val="等线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Analyst assumption: 1.0% of Fari SAM captured within three years.</t>
        </r>
      </text>
    </comment>
    <comment ref="C13" authorId="1" shapeId="0" xr:uid="{00000000-0006-0000-0100-000002000000}">
      <text>
        <r>
          <rPr>
            <sz val="11"/>
            <rFont val="等线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Formula: midpoint of the $5,000–$25,000 Week 1 Tier 2 estimate.</t>
        </r>
      </text>
    </comment>
    <comment ref="C21" authorId="2" shapeId="0" xr:uid="{00000000-0006-0000-0100-000003000000}">
      <text>
        <r>
          <rPr>
            <sz val="11"/>
            <rFont val="等线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Analyst assumption: 0.5% of target schools captured within three years.</t>
        </r>
      </text>
    </comment>
    <comment ref="C22" authorId="3" shapeId="0" xr:uid="{00000000-0006-0000-0100-000004000000}">
      <text>
        <r>
          <rPr>
            <sz val="11"/>
            <rFont val="等线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Source: public NAO V6 institutional price used as a Senpai analogue.</t>
        </r>
      </text>
    </comment>
    <comment ref="C34" authorId="4" shapeId="0" xr:uid="{00000000-0006-0000-0100-000005000000}">
      <text>
        <r>
          <rPr>
            <sz val="11"/>
            <rFont val="等线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Base assumption: 0.03% of selected target-industry guard FTE pool captured within three years.</t>
        </r>
      </text>
    </comment>
    <comment ref="C35" authorId="5" shapeId="0" xr:uid="{00000000-0006-0000-0100-000006000000}">
      <text>
        <r>
          <rPr>
            <sz val="11"/>
            <rFont val="等线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The former 0.1% case is retained as the High scenario rather than the base case.</t>
        </r>
      </text>
    </comment>
    <comment ref="C39" authorId="6" shapeId="0" xr:uid="{00000000-0006-0000-0100-000007000000}">
      <text>
        <r>
          <rPr>
            <sz val="11"/>
            <rFont val="等线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Derivation: midpoint of the Week 1 Tier 3 estimate. This is a one-time system estimate, not an InGen quote.</t>
        </r>
      </text>
    </comment>
    <comment ref="C40" authorId="7" shapeId="0" xr:uid="{00000000-0006-0000-0100-000008000000}">
      <text>
        <r>
          <rPr>
            <sz val="11"/>
            <rFont val="等线"/>
            <charset val="134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Sizing convention only: one deployment is mapped to one guard FTE opportunity.</t>
        </r>
      </text>
    </comment>
  </commentList>
</comments>
</file>

<file path=xl/sharedStrings.xml><?xml version="1.0" encoding="utf-8"?>
<sst xmlns="http://schemas.openxmlformats.org/spreadsheetml/2006/main" count="488" uniqueCount="308">
  <si>
    <t>W03 TAM / SAM / SOM Model — U.S. Market</t>
  </si>
  <si>
    <t>Market sizing summary</t>
  </si>
  <si>
    <t>Three-year SOM revenue</t>
  </si>
  <si>
    <t>Platform</t>
  </si>
  <si>
    <t>Layer</t>
  </si>
  <si>
    <t>Addressable units</t>
  </si>
  <si>
    <t>Unit definition</t>
  </si>
  <si>
    <t>Value per unit</t>
  </si>
  <si>
    <t>Revenue opportunity</t>
  </si>
  <si>
    <t>Main filter</t>
  </si>
  <si>
    <t>Revenue</t>
  </si>
  <si>
    <t>Fari</t>
  </si>
  <si>
    <t>TAM</t>
  </si>
  <si>
    <t>nursing facilities</t>
  </si>
  <si>
    <t>All CMS providers</t>
  </si>
  <si>
    <t>SAM</t>
  </si>
  <si>
    <t>Certified beds &gt;= 100</t>
  </si>
  <si>
    <t>Senpai</t>
  </si>
  <si>
    <t>SOM</t>
  </si>
  <si>
    <t>SAM × 1.0%</t>
  </si>
  <si>
    <t>Sentinel Prime AI</t>
  </si>
  <si>
    <t>public schools</t>
  </si>
  <si>
    <t>Active schools</t>
  </si>
  <si>
    <t>Regular K–8-serving schools, enrollment &gt;= 500</t>
  </si>
  <si>
    <t>SAM × 0.5%</t>
  </si>
  <si>
    <t>deployments</t>
  </si>
  <si>
    <t>All U.S. security guard FTE</t>
  </si>
  <si>
    <t>Selected target industries</t>
  </si>
  <si>
    <t>SAM × 0.03% base case</t>
  </si>
  <si>
    <t>W03 TAM / SAM / SOM Model — Assumptions</t>
  </si>
  <si>
    <t>Light gray value cells are editable estimates. Public-source facts remain white. Revenue outputs are illustrative, not InGen quotations.</t>
  </si>
  <si>
    <t>Input</t>
  </si>
  <si>
    <t>Value</t>
  </si>
  <si>
    <t>Unit</t>
  </si>
  <si>
    <t>Type</t>
  </si>
  <si>
    <t>Source ID</t>
  </si>
  <si>
    <t>Derivation / Note</t>
  </si>
  <si>
    <t>TAM certified facilities</t>
  </si>
  <si>
    <t>facilities</t>
  </si>
  <si>
    <t>Public source</t>
  </si>
  <si>
    <t>S01</t>
  </si>
  <si>
    <t>All rows in CMS Provider Information</t>
  </si>
  <si>
    <t>TAM certified beds</t>
  </si>
  <si>
    <t>beds</t>
  </si>
  <si>
    <t>Sum of Number of Certified Beds</t>
  </si>
  <si>
    <t>TAM average residents per day</t>
  </si>
  <si>
    <t>residents/day</t>
  </si>
  <si>
    <t>Sum of Average Number of Residents per Day</t>
  </si>
  <si>
    <t>SAM facilities</t>
  </si>
  <si>
    <t>Derived from source</t>
  </si>
  <si>
    <t>SAM certified beds</t>
  </si>
  <si>
    <t>Beds within facilities having &gt;= 100 certified beds</t>
  </si>
  <si>
    <t>SAM average residents per day</t>
  </si>
  <si>
    <t>Residents within facilities having &gt;= 100 certified beds</t>
  </si>
  <si>
    <t>Three-year SOM capture</t>
  </si>
  <si>
    <t>% of SAM</t>
  </si>
  <si>
    <t>Analyst estimate</t>
  </si>
  <si>
    <t>S11</t>
  </si>
  <si>
    <t>Early U.S. penetration assumption for an in-development product</t>
  </si>
  <si>
    <t>Estimated first-year revenue per site</t>
  </si>
  <si>
    <t>USD/site</t>
  </si>
  <si>
    <t>Formula</t>
  </si>
  <si>
    <t>S08</t>
  </si>
  <si>
    <t>Midpoint of the Week 1 Tier 2 range</t>
  </si>
  <si>
    <t>Tier 2 lower bound</t>
  </si>
  <si>
    <t>Week 1 cost-tier boundary</t>
  </si>
  <si>
    <t>Tier 2 upper bound</t>
  </si>
  <si>
    <t>TAM active public schools</t>
  </si>
  <si>
    <t>schools</t>
  </si>
  <si>
    <t>S02/S03</t>
  </si>
  <si>
    <t>Status codes 1, 3, 4, 5, and 8</t>
  </si>
  <si>
    <t>TAM students</t>
  </si>
  <si>
    <t>students</t>
  </si>
  <si>
    <t>S03</t>
  </si>
  <si>
    <t>Students in active schools</t>
  </si>
  <si>
    <t>SAM schools</t>
  </si>
  <si>
    <t>Active regular schools, K–8 enrollment &gt; 0, total enrollment &gt;= 500</t>
  </si>
  <si>
    <t>SAM students</t>
  </si>
  <si>
    <t>Total students in selected SAM schools</t>
  </si>
  <si>
    <t>SAM K–8 students</t>
  </si>
  <si>
    <t>K–8 students in selected SAM schools</t>
  </si>
  <si>
    <t>Conservative school procurement assumption</t>
  </si>
  <si>
    <t>Estimated first-year revenue per school</t>
  </si>
  <si>
    <t>USD/school</t>
  </si>
  <si>
    <t>Public analogue</t>
  </si>
  <si>
    <t>S04</t>
  </si>
  <si>
    <t>NAO V6 public institutional price</t>
  </si>
  <si>
    <t>Units per school</t>
  </si>
  <si>
    <t>unit/school</t>
  </si>
  <si>
    <t>One Senpai deployment per school</t>
  </si>
  <si>
    <t>NCES valid school rows</t>
  </si>
  <si>
    <t>S02</t>
  </si>
  <si>
    <t>Rows with a 12-digit NCES school ID</t>
  </si>
  <si>
    <t>Inactive schools excluded</t>
  </si>
  <si>
    <t>Status 6-Inactive</t>
  </si>
  <si>
    <t>Future schools excluded</t>
  </si>
  <si>
    <t>Status 7-Future</t>
  </si>
  <si>
    <t>Active schools with unavailable enrollment</t>
  </si>
  <si>
    <t>School IDs matched, but total enrollment is non-numeric or unavailable</t>
  </si>
  <si>
    <t>Sentinel</t>
  </si>
  <si>
    <t>TAM security guard FTE</t>
  </si>
  <si>
    <t>guard FTE</t>
  </si>
  <si>
    <t>S05</t>
  </si>
  <si>
    <t>U.S. Security Guards, OCC 33-9032</t>
  </si>
  <si>
    <t>Mean annual guard wage</t>
  </si>
  <si>
    <t>USD/FTE/year</t>
  </si>
  <si>
    <t>A_MEAN for OCC 33-9032</t>
  </si>
  <si>
    <t>TAM annual wage pool</t>
  </si>
  <si>
    <t>USD/year</t>
  </si>
  <si>
    <t>Guard FTE multiplied by mean annual wage</t>
  </si>
  <si>
    <t>SAM target-industry guard FTE</t>
  </si>
  <si>
    <t>S06</t>
  </si>
  <si>
    <t>Selected 4-digit NAICS industries; includes contract security as a channel/operator market</t>
  </si>
  <si>
    <t>SAM annual wage pool</t>
  </si>
  <si>
    <t>Sum of employment multiplied by mean annual wage</t>
  </si>
  <si>
    <t>Three-year SOM capture — Low</t>
  </si>
  <si>
    <t>Low early-market case</t>
  </si>
  <si>
    <t>Three-year SOM capture — Base</t>
  </si>
  <si>
    <t>Base case used in the market model</t>
  </si>
  <si>
    <t>Three-year SOM capture — High</t>
  </si>
  <si>
    <t>Prior 0.1% case retained as an upside test</t>
  </si>
  <si>
    <t>IFR security/search/rescue units</t>
  </si>
  <si>
    <t>units/year</t>
  </si>
  <si>
    <t>S09</t>
  </si>
  <si>
    <t>2024 global supplier sample; directional comparison only</t>
  </si>
  <si>
    <t>IFR security-use share</t>
  </si>
  <si>
    <t>% of category</t>
  </si>
  <si>
    <t>IFR states that about three quarters were for security services</t>
  </si>
  <si>
    <t>IFR security-use units</t>
  </si>
  <si>
    <t>Security/search/rescue units multiplied by security-use share</t>
  </si>
  <si>
    <t>Estimated hardware/system value</t>
  </si>
  <si>
    <t>USD/deployment</t>
  </si>
  <si>
    <t>S07/S08</t>
  </si>
  <si>
    <t>One-time system estimate; Knightscope reports annual service revenue, so the units differ</t>
  </si>
  <si>
    <t>Guard FTE addressed per deployment</t>
  </si>
  <si>
    <t>guard FTE/deployment</t>
  </si>
  <si>
    <t>Sizing convention; does not claim full labor replacement</t>
  </si>
  <si>
    <t>Fari — U.S. TAM / SAM / SOM</t>
  </si>
  <si>
    <t>Addressable facilities</t>
  </si>
  <si>
    <t>Supporting residents/day</t>
  </si>
  <si>
    <t>First-year value/site</t>
  </si>
  <si>
    <t>Rule</t>
  </si>
  <si>
    <t>All CMS-certified nursing facilities</t>
  </si>
  <si>
    <t>Facilities with at least 100 certified beds</t>
  </si>
  <si>
    <t>SAM × three-year capture rate</t>
  </si>
  <si>
    <t>Logic and interpretation</t>
  </si>
  <si>
    <t>TAM logic</t>
  </si>
  <si>
    <t>Facility count</t>
  </si>
  <si>
    <t>CMS provider rows</t>
  </si>
  <si>
    <t>Represents the broad U.S. institutional universe.</t>
  </si>
  <si>
    <t>SAM logic</t>
  </si>
  <si>
    <t>Facility size</t>
  </si>
  <si>
    <t>&gt;= 100 certified beds</t>
  </si>
  <si>
    <t>Larger facilities have a stronger potential budget and more residents per deployment.</t>
  </si>
  <si>
    <t>SOM logic</t>
  </si>
  <si>
    <t>Three-year capture</t>
  </si>
  <si>
    <t>A 1.0% share of SAM is an editable early-market assumption.</t>
  </si>
  <si>
    <t>Senpai — U.S. TAM / SAM / SOM</t>
  </si>
  <si>
    <t>Addressable schools</t>
  </si>
  <si>
    <t>Sentinel Prime AI — U.S. TAM / SAM / SOM</t>
  </si>
  <si>
    <t>Annual wage pool</t>
  </si>
  <si>
    <t>All U.S. Security Guards (OCC 33-9032)</t>
  </si>
  <si>
    <t>SAM target industries — BLS OEWS May 2025</t>
  </si>
  <si>
    <t>NAICS</t>
  </si>
  <si>
    <t>Industry</t>
  </si>
  <si>
    <t>Security guard FTE</t>
  </si>
  <si>
    <t>Mean hourly wage</t>
  </si>
  <si>
    <t>Mean annual wage</t>
  </si>
  <si>
    <t>221100</t>
  </si>
  <si>
    <t>Electric Power Generation, Transmission and Distribution</t>
  </si>
  <si>
    <t>221200</t>
  </si>
  <si>
    <t>Natural Gas Distribution</t>
  </si>
  <si>
    <t>221300</t>
  </si>
  <si>
    <t>Water, Sewage and Other Systems</t>
  </si>
  <si>
    <t>493100</t>
  </si>
  <si>
    <t>Warehousing and Storage</t>
  </si>
  <si>
    <t>531000</t>
  </si>
  <si>
    <t>Real Estate</t>
  </si>
  <si>
    <t>561600</t>
  </si>
  <si>
    <t>Investigation and Security Services</t>
  </si>
  <si>
    <t>611100</t>
  </si>
  <si>
    <t>Elementary and Secondary Schools</t>
  </si>
  <si>
    <t>622100</t>
  </si>
  <si>
    <t>General Medical and Surgical Hospitals</t>
  </si>
  <si>
    <t>622200</t>
  </si>
  <si>
    <t>Psychiatric and Substance Abuse Hospitals</t>
  </si>
  <si>
    <t>622300</t>
  </si>
  <si>
    <t>Specialty (except Psychiatric and Substance Abuse) Hospitals</t>
  </si>
  <si>
    <t>SAM total</t>
  </si>
  <si>
    <t>SAM interpretation</t>
  </si>
  <si>
    <t>Metric</t>
  </si>
  <si>
    <t>Explanation</t>
  </si>
  <si>
    <t>Direct-site SAM excluding NAICS 561600</t>
  </si>
  <si>
    <t>Customer-site industries only; excludes the contract-security channel pool.</t>
  </si>
  <si>
    <t>Direct-site annual wage pool</t>
  </si>
  <si>
    <t>Annual wage pool for the direct-site industries above.</t>
  </si>
  <si>
    <t>Contract-security channel/operator pool</t>
  </si>
  <si>
    <t>NAICS 561600 is included because security firms may buy and operate the system for client sites. This is an employer-side FTE pool, not a site count.</t>
  </si>
  <si>
    <t>Ownership coverage</t>
  </si>
  <si>
    <t>OWN_CODE 235</t>
  </si>
  <si>
    <t>combined</t>
  </si>
  <si>
    <t>NAICS 611100 and 622100/622200/622300 combine private, state, and local government employment.</t>
  </si>
  <si>
    <t>W03 TAM / SAM / SOM Model — Checks</t>
  </si>
  <si>
    <t>Check</t>
  </si>
  <si>
    <t>Actual</t>
  </si>
  <si>
    <t>Expected</t>
  </si>
  <si>
    <t>Difference</t>
  </si>
  <si>
    <t>Tolerance</t>
  </si>
  <si>
    <t>Status</t>
  </si>
  <si>
    <t>Notes</t>
  </si>
  <si>
    <t>Fari hierarchy: TAM &gt;= SAM</t>
  </si>
  <si>
    <t>Facility count must narrow from TAM to SAM.</t>
  </si>
  <si>
    <t>Fari hierarchy: SAM &gt;= SOM</t>
  </si>
  <si>
    <t>SOM cannot exceed the targetable market.</t>
  </si>
  <si>
    <t>Senpai hierarchy: TAM &gt;= SAM &gt;= SOM</t>
  </si>
  <si>
    <t>Both narrowing steps must be non-negative.</t>
  </si>
  <si>
    <t>NCES population reconciliation</t>
  </si>
  <si>
    <t>Active + inactive + future schools equals valid source rows.</t>
  </si>
  <si>
    <t>Sentinel industry FTE ties to SAM</t>
  </si>
  <si>
    <t>Selected 4-digit NAICS rows reconcile to the SAM input.</t>
  </si>
  <si>
    <t>Fari site value is midpoint of Tier 2</t>
  </si>
  <si>
    <t>Midpoint = ($5,000 + $25,000) / 2.</t>
  </si>
  <si>
    <t>Sentinel annualized SOM vs. IFR security-use units</t>
  </si>
  <si>
    <t>Directional screen: annualized U.S. base SOM stays below 5% of IFR's approximate 2024 global security-use units.</t>
  </si>
  <si>
    <t>Model Input / Use</t>
  </si>
  <si>
    <t>Value / Unit</t>
  </si>
  <si>
    <t>Period</t>
  </si>
  <si>
    <t>Source</t>
  </si>
  <si>
    <t>URL</t>
  </si>
  <si>
    <t>Fari facility, bed, and resident counts</t>
  </si>
  <si>
    <t>14,695 facilities</t>
  </si>
  <si>
    <t>2026-06-01</t>
  </si>
  <si>
    <t>CMS Provider Information</t>
  </si>
  <si>
    <t>https://data.cms.gov/provider-data/dataset/4pq5-n9py</t>
  </si>
  <si>
    <t>Senpai school status and school type</t>
  </si>
  <si>
    <t>101,110 valid schools</t>
  </si>
  <si>
    <t>2024–25 v2a</t>
  </si>
  <si>
    <t>NCES ELSi Public School Directory</t>
  </si>
  <si>
    <t>https://nces.ed.gov/ccd/elsi/</t>
  </si>
  <si>
    <t>Senpai enrollment and K–8 counts</t>
  </si>
  <si>
    <t>49,342,639 active-school students</t>
  </si>
  <si>
    <t>2024–25</t>
  </si>
  <si>
    <t>NCES ELSi Student Enrollment</t>
  </si>
  <si>
    <t>Senpai first-year value analogue</t>
  </si>
  <si>
    <t>$16,990 per unit</t>
  </si>
  <si>
    <t>Current listing used in Week 1</t>
  </si>
  <si>
    <t>RobotLAB NAO V6 Standard Edition</t>
  </si>
  <si>
    <t>https://www.robotlab.com/store/nao-v6-standard-edition/</t>
  </si>
  <si>
    <t>Sentinel national security-guard employment and wage</t>
  </si>
  <si>
    <t>1,283,470 FTE; $42,470/year</t>
  </si>
  <si>
    <t>May 2025</t>
  </si>
  <si>
    <t>BLS OEWS National</t>
  </si>
  <si>
    <t>https://www.bls.gov/oes/tables.htm</t>
  </si>
  <si>
    <t>Sentinel target-industry employment and wages</t>
  </si>
  <si>
    <t>919,750 guard FTE</t>
  </si>
  <si>
    <t>BLS OEWS National Industry-Specific</t>
  </si>
  <si>
    <t>S07</t>
  </si>
  <si>
    <t>Sentinel price reasonableness anchor</t>
  </si>
  <si>
    <t>$42,000–$97,800/year</t>
  </si>
  <si>
    <t>2021 filing</t>
  </si>
  <si>
    <t>Knightscope SEC filing</t>
  </si>
  <si>
    <t>https://www.sec.gov/Archives/edgar/data/1600983/000110465921059135/tm2113857d1_partii.htm</t>
  </si>
  <si>
    <t>Fari and Sentinel estimated price tiers</t>
  </si>
  <si>
    <t>Tier 2 / Tier 3</t>
  </si>
  <si>
    <t>2026-07-13</t>
  </si>
  <si>
    <t>W01_InGen_BA_Landscape.md</t>
  </si>
  <si>
    <t>https://www.ingendynamics.com/</t>
  </si>
  <si>
    <t>Service-robot market context</t>
  </si>
  <si>
    <t>3,128 security/search/rescue units; about 75% for security</t>
  </si>
  <si>
    <t>2024 results</t>
  </si>
  <si>
    <t>IFR World Robotics 2025 Executive Summary</t>
  </si>
  <si>
    <t>https://ifr.org/img/worldrobotics/Executive_Summary_WR_2025_Service_Robots.pdf</t>
  </si>
  <si>
    <t>S10</t>
  </si>
  <si>
    <t>Ageing-demand context for Fari</t>
  </si>
  <si>
    <t>Global population aged 60+ trend</t>
  </si>
  <si>
    <t>2020–2050</t>
  </si>
  <si>
    <t>WHO Ageing and Health</t>
  </si>
  <si>
    <t>https://www.who.int/news-room/fact-sheets/detail/ageing-and-health</t>
  </si>
  <si>
    <t>Capture rates and one-unit conventions</t>
  </si>
  <si>
    <t>Low / Base / High estimates</t>
  </si>
  <si>
    <t>Three-year model</t>
  </si>
  <si>
    <t>Analyst assumptions</t>
  </si>
  <si>
    <t>Logic</t>
  </si>
  <si>
    <t>Basis</t>
  </si>
  <si>
    <t>Threshold / Rate</t>
  </si>
  <si>
    <t>Interpretation</t>
  </si>
  <si>
    <t>Student enrollment</t>
    <phoneticPr fontId="6" type="noConversion"/>
  </si>
  <si>
    <t>Assumed value per school</t>
    <phoneticPr fontId="6" type="noConversion"/>
  </si>
  <si>
    <t>Definition</t>
    <phoneticPr fontId="6" type="noConversion"/>
  </si>
  <si>
    <t>Active public schools with NCES status codes 1, 3, 4, 5, or 8</t>
    <phoneticPr fontId="6" type="noConversion"/>
  </si>
  <si>
    <t>Active regular schools with K–8 enrollment above 0 and total enrollment of at least 500</t>
    <phoneticPr fontId="6" type="noConversion"/>
  </si>
  <si>
    <t>0.5% of SAM over three years, rounded to 141 schools</t>
    <phoneticPr fontId="6" type="noConversion"/>
  </si>
  <si>
    <t>MODEL STATUS</t>
    <phoneticPr fontId="6" type="noConversion"/>
  </si>
  <si>
    <t>Deployment opportunities</t>
    <phoneticPr fontId="6" type="noConversion"/>
  </si>
  <si>
    <t>Guard FTE basis</t>
    <phoneticPr fontId="6" type="noConversion"/>
  </si>
  <si>
    <t>Value per deployment</t>
    <phoneticPr fontId="6" type="noConversion"/>
  </si>
  <si>
    <t>Estimated market value</t>
    <phoneticPr fontId="6" type="noConversion"/>
  </si>
  <si>
    <t>Selected NAICS target industries listed below</t>
    <phoneticPr fontId="6" type="noConversion"/>
  </si>
  <si>
    <t>0.03% of SAM over three years, rounded to 276 deployments</t>
    <phoneticPr fontId="6" type="noConversion"/>
  </si>
  <si>
    <t>Unit of analysis: one deployment opportunity per guard FTE.</t>
    <phoneticPr fontId="6" type="noConversion"/>
  </si>
  <si>
    <t>Sources</t>
    <phoneticPr fontId="6" type="noConversion"/>
  </si>
  <si>
    <t>SAM filter: certified beds ≥100.</t>
  </si>
  <si>
    <t>TAM excludes inactive and future schools.</t>
  </si>
  <si>
    <t>Enrollment unavailable for 992 active schools.</t>
  </si>
  <si>
    <t>NAICS 561600 is a channel/operator pool; OWN_CODE 235 combines private, state, and local employment.</t>
  </si>
  <si>
    <t>Annual MaaS benchmark; the model uses a one-time system estimate.</t>
  </si>
  <si>
    <t>Directional global check only; not the U.S. market denominator.</t>
  </si>
  <si>
    <t>Low/Base/High capture: 0.02% / 0.03% / 0.10%.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</si>
</sst>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23" formatCode="\$#,##0_);\(\$#,##0\)"/>
    <numFmt numFmtId="176" formatCode="#,##0;\(#,##0\);\-"/>
    <numFmt numFmtId="177" formatCode="0.0%;\(0.0%\);\-"/>
    <numFmt numFmtId="178" formatCode="\$#,##0;\(\$#,##0\);\-"/>
    <numFmt numFmtId="179" formatCode="#,##0.0;\(#,##0.0\);\-"/>
    <numFmt numFmtId="180" formatCode="#,##0_);\(#,##0\)"/>
  </numFmts>
  <fonts count="12">
    <font>
      <sz val="11"/>
      <name val="等线"/>
    </font>
    <font>
      <b/>
      <sz val="11"/>
      <color rgb="FF000000"/>
      <name val="等线"/>
      <charset val="134"/>
    </font>
    <font>
      <sz val="11"/>
      <name val="等线"/>
      <charset val="134"/>
    </font>
    <font>
      <sz val="11"/>
      <color rgb="FF000000"/>
      <name val="等线"/>
      <charset val="134"/>
    </font>
    <font>
      <b/>
      <sz val="11"/>
      <name val="等线"/>
      <charset val="134"/>
    </font>
    <font>
      <sz val="11"/>
      <name val="等线"/>
      <charset val="134"/>
    </font>
    <font>
      <sz val="9"/>
      <name val="宋体"/>
      <family val="3"/>
      <charset val="134"/>
    </font>
    <font>
      <b/>
      <sz val="11"/>
      <name val="等线"/>
      <family val="3"/>
      <charset val="134"/>
    </font>
    <font>
      <sz val="11"/>
      <name val="等线"/>
      <family val="3"/>
      <charset val="134"/>
    </font>
    <font>
      <b/>
      <sz val="11"/>
      <color rgb="FF000000"/>
      <name val="等线"/>
      <family val="3"/>
      <charset val="134"/>
    </font>
    <font>
      <sz val="11"/>
      <color rgb="FF000000"/>
      <name val="等线"/>
      <family val="3"/>
      <charset val="134"/>
    </font>
    <font>
      <b/>
      <sz val="20"/>
      <color rgb="FF000000"/>
      <name val="等线"/>
      <family val="3"/>
      <charset val="134"/>
    </font>
  </fonts>
  <fills count="6">
    <fill>
      <patternFill patternType="none"/>
    </fill>
    <fill>
      <patternFill patternType="gray125"/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5" fillId="0" borderId="0"/>
  </cellStyleXfs>
  <cellXfs count="44">
    <xf numFmtId="0" fontId="0" fillId="0" borderId="0" xfId="0"/>
    <xf numFmtId="0" fontId="1" fillId="3" borderId="1" xfId="1" applyFont="1" applyFill="1" applyBorder="1" applyAlignment="1">
      <alignment horizontal="center" vertical="center" wrapText="1"/>
    </xf>
    <xf numFmtId="0" fontId="2" fillId="2" borderId="0" xfId="1" applyFont="1" applyFill="1" applyAlignment="1">
      <alignment vertical="center"/>
    </xf>
    <xf numFmtId="0" fontId="4" fillId="5" borderId="0" xfId="1" applyFont="1" applyFill="1" applyAlignment="1">
      <alignment vertical="center"/>
    </xf>
    <xf numFmtId="0" fontId="3" fillId="0" borderId="1" xfId="1" applyFont="1" applyBorder="1" applyAlignment="1">
      <alignment horizontal="center" vertical="center" wrapText="1"/>
    </xf>
    <xf numFmtId="178" fontId="3" fillId="0" borderId="1" xfId="1" applyNumberFormat="1" applyFont="1" applyBorder="1" applyAlignment="1">
      <alignment horizontal="center" vertical="center" wrapText="1"/>
    </xf>
    <xf numFmtId="176" fontId="3" fillId="0" borderId="1" xfId="1" applyNumberFormat="1" applyFont="1" applyBorder="1" applyAlignment="1">
      <alignment horizontal="center" vertical="center" wrapText="1"/>
    </xf>
    <xf numFmtId="0" fontId="3" fillId="4" borderId="1" xfId="1" applyFont="1" applyFill="1" applyBorder="1" applyAlignment="1">
      <alignment horizontal="center" vertical="center" wrapText="1"/>
    </xf>
    <xf numFmtId="176" fontId="3" fillId="4" borderId="1" xfId="1" applyNumberFormat="1" applyFont="1" applyFill="1" applyBorder="1" applyAlignment="1">
      <alignment horizontal="center" vertical="center" wrapText="1"/>
    </xf>
    <xf numFmtId="178" fontId="3" fillId="4" borderId="1" xfId="1" applyNumberFormat="1" applyFont="1" applyFill="1" applyBorder="1" applyAlignment="1">
      <alignment horizontal="center" vertical="center" wrapText="1"/>
    </xf>
    <xf numFmtId="178" fontId="3" fillId="3" borderId="1" xfId="1" applyNumberFormat="1" applyFont="1" applyFill="1" applyBorder="1" applyAlignment="1">
      <alignment horizontal="center" vertical="center" wrapText="1"/>
    </xf>
    <xf numFmtId="176" fontId="3" fillId="3" borderId="1" xfId="1" applyNumberFormat="1" applyFont="1" applyFill="1" applyBorder="1" applyAlignment="1">
      <alignment horizontal="center" vertical="center" wrapText="1"/>
    </xf>
    <xf numFmtId="10" fontId="3" fillId="3" borderId="1" xfId="1" applyNumberFormat="1" applyFont="1" applyFill="1" applyBorder="1" applyAlignment="1">
      <alignment horizontal="center" vertical="center" wrapText="1"/>
    </xf>
    <xf numFmtId="23" fontId="3" fillId="0" borderId="1" xfId="1" applyNumberFormat="1" applyFont="1" applyBorder="1" applyAlignment="1">
      <alignment horizontal="center" vertical="center" wrapText="1"/>
    </xf>
    <xf numFmtId="180" fontId="3" fillId="0" borderId="1" xfId="1" applyNumberFormat="1" applyFont="1" applyBorder="1" applyAlignment="1">
      <alignment horizontal="center" vertical="center" wrapText="1"/>
    </xf>
    <xf numFmtId="180" fontId="3" fillId="4" borderId="1" xfId="1" applyNumberFormat="1" applyFont="1" applyFill="1" applyBorder="1" applyAlignment="1">
      <alignment horizontal="center" vertical="center" wrapText="1"/>
    </xf>
    <xf numFmtId="23" fontId="3" fillId="3" borderId="1" xfId="1" applyNumberFormat="1" applyFont="1" applyFill="1" applyBorder="1" applyAlignment="1">
      <alignment horizontal="center" vertical="center" wrapText="1"/>
    </xf>
    <xf numFmtId="0" fontId="7" fillId="0" borderId="3" xfId="0" applyFont="1" applyBorder="1" applyAlignment="1">
      <alignment horizontal="center" vertical="center" wrapText="1"/>
    </xf>
    <xf numFmtId="0" fontId="3" fillId="0" borderId="3" xfId="1" applyFont="1" applyBorder="1" applyAlignment="1">
      <alignment horizontal="center" vertical="center" wrapText="1"/>
    </xf>
    <xf numFmtId="177" fontId="3" fillId="0" borderId="3" xfId="1" applyNumberFormat="1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/>
    </xf>
    <xf numFmtId="0" fontId="9" fillId="3" borderId="1" xfId="1" applyFont="1" applyFill="1" applyBorder="1" applyAlignment="1">
      <alignment horizontal="center" vertical="center" wrapText="1"/>
    </xf>
    <xf numFmtId="0" fontId="10" fillId="0" borderId="1" xfId="1" applyFont="1" applyBorder="1" applyAlignment="1">
      <alignment horizontal="center" vertical="center" wrapText="1"/>
    </xf>
    <xf numFmtId="0" fontId="10" fillId="4" borderId="1" xfId="1" applyFont="1" applyFill="1" applyBorder="1" applyAlignment="1">
      <alignment horizontal="center" vertical="center" wrapText="1"/>
    </xf>
    <xf numFmtId="0" fontId="1" fillId="4" borderId="1" xfId="1" applyFont="1" applyFill="1" applyBorder="1" applyAlignment="1">
      <alignment horizontal="center" vertical="center"/>
    </xf>
    <xf numFmtId="176" fontId="1" fillId="4" borderId="1" xfId="1" applyNumberFormat="1" applyFont="1" applyFill="1" applyBorder="1" applyAlignment="1">
      <alignment horizontal="center" vertical="center"/>
    </xf>
    <xf numFmtId="178" fontId="1" fillId="4" borderId="1" xfId="1" applyNumberFormat="1" applyFont="1" applyFill="1" applyBorder="1" applyAlignment="1">
      <alignment horizontal="center" vertical="center"/>
    </xf>
    <xf numFmtId="0" fontId="7" fillId="5" borderId="0" xfId="1" applyFont="1" applyFill="1" applyAlignment="1">
      <alignment vertical="center"/>
    </xf>
    <xf numFmtId="179" fontId="3" fillId="0" borderId="1" xfId="1" applyNumberFormat="1" applyFont="1" applyBorder="1" applyAlignment="1">
      <alignment horizontal="center" vertical="center" wrapText="1"/>
    </xf>
    <xf numFmtId="10" fontId="3" fillId="0" borderId="1" xfId="1" applyNumberFormat="1" applyFont="1" applyBorder="1" applyAlignment="1">
      <alignment horizontal="center" vertical="center" wrapText="1"/>
    </xf>
    <xf numFmtId="0" fontId="4" fillId="5" borderId="2" xfId="1" applyFont="1" applyFill="1" applyBorder="1" applyAlignment="1">
      <alignment horizontal="center" vertical="center"/>
    </xf>
    <xf numFmtId="0" fontId="1" fillId="2" borderId="0" xfId="1" applyFont="1" applyFill="1" applyAlignment="1">
      <alignment horizontal="center" vertical="center"/>
    </xf>
    <xf numFmtId="0" fontId="2" fillId="2" borderId="0" xfId="1" applyFont="1" applyFill="1" applyAlignment="1">
      <alignment horizontal="left" vertical="center"/>
    </xf>
    <xf numFmtId="0" fontId="3" fillId="0" borderId="3" xfId="1" applyFont="1" applyBorder="1" applyAlignment="1">
      <alignment horizontal="center" vertical="center" wrapText="1"/>
    </xf>
    <xf numFmtId="0" fontId="7" fillId="0" borderId="3" xfId="0" applyFont="1" applyBorder="1" applyAlignment="1">
      <alignment horizontal="center"/>
    </xf>
    <xf numFmtId="0" fontId="4" fillId="5" borderId="0" xfId="1" applyFont="1" applyFill="1" applyAlignment="1">
      <alignment horizontal="center" vertical="center"/>
    </xf>
    <xf numFmtId="0" fontId="1" fillId="2" borderId="2" xfId="1" applyFont="1" applyFill="1" applyBorder="1" applyAlignment="1">
      <alignment horizontal="center" vertical="center"/>
    </xf>
    <xf numFmtId="0" fontId="3" fillId="0" borderId="1" xfId="1" applyFont="1" applyBorder="1" applyAlignment="1">
      <alignment horizontal="center" vertical="center" wrapText="1"/>
    </xf>
    <xf numFmtId="0" fontId="8" fillId="2" borderId="0" xfId="1" applyFont="1" applyFill="1" applyAlignment="1">
      <alignment horizontal="center" vertical="center"/>
    </xf>
    <xf numFmtId="0" fontId="2" fillId="2" borderId="0" xfId="1" applyFont="1" applyFill="1" applyAlignment="1">
      <alignment horizontal="center" vertical="center"/>
    </xf>
    <xf numFmtId="0" fontId="1" fillId="3" borderId="1" xfId="1" applyFont="1" applyFill="1" applyBorder="1" applyAlignment="1">
      <alignment horizontal="center" vertical="center" wrapText="1"/>
    </xf>
    <xf numFmtId="0" fontId="1" fillId="3" borderId="1" xfId="1" applyFont="1" applyFill="1" applyBorder="1" applyAlignment="1">
      <alignment horizontal="center"/>
    </xf>
    <xf numFmtId="0" fontId="11" fillId="2" borderId="0" xfId="1" applyFont="1" applyFill="1" applyAlignment="1">
      <alignment horizontal="center" vertical="center"/>
    </xf>
    <xf numFmtId="0" fontId="11" fillId="2" borderId="2" xfId="1" applyFont="1" applyFill="1" applyBorder="1" applyAlignment="1">
      <alignment horizontal="center" vertical="center"/>
    </xf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54aa4821a22c4b29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zh-CN"/>
  <c:roundedCorners val="0"/>
  <c:style val="2"/>
  <c:chart>
    <c:title>
      <c:tx>
        <c:rich>
          <a:bodyPr/>
          <a:lstStyle/>
          <a:p>
            <a:r>
              <a:rPr lang="en-US" sz="1400"/>
              <a:t>Three-year SOM revenue opportunity (USD)</a:t>
            </a:r>
          </a:p>
        </c:rich>
      </c:tx>
      <c:layout>
        <c:manualLayout>
          <c:xMode val="edge"/>
          <c:yMode val="edge"/>
          <c:x val="0.26940366428555407"/>
          <c:y val="5.7595392368610512E-2"/>
        </c:manualLayout>
      </c:layout>
      <c:overlay val="1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Revenue</c:v>
          </c:tx>
          <c:spPr>
            <a:solidFill>
              <a:srgbClr val="3F3F3F"/>
            </a:solidFill>
          </c:spPr>
          <c:invertIfNegative val="1"/>
          <c:cat>
            <c:strRef>
              <c:f>Overview!$I$6:$I$8</c:f>
              <c:strCache>
                <c:ptCount val="3"/>
                <c:pt idx="0">
                  <c:v>Fari</c:v>
                </c:pt>
                <c:pt idx="1">
                  <c:v>Senpai</c:v>
                </c:pt>
                <c:pt idx="2">
                  <c:v>Sentinel Prime AI</c:v>
                </c:pt>
              </c:strCache>
            </c:strRef>
          </c:cat>
          <c:val>
            <c:numRef>
              <c:f>Overview!$J$6:$J$8</c:f>
              <c:numCache>
                <c:formatCode>\$#,##0_);\(\$#,##0\)</c:formatCode>
                <c:ptCount val="3"/>
                <c:pt idx="0">
                  <c:v>1110000</c:v>
                </c:pt>
                <c:pt idx="1">
                  <c:v>2395590</c:v>
                </c:pt>
                <c:pt idx="2">
                  <c:v>17250000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</c14:spPr>
              </c14:invertSolidFillFmt>
            </c:ext>
            <c:ext xmlns:c16="http://schemas.microsoft.com/office/drawing/2014/chart" uri="{C3380CC4-5D6E-409C-BE32-E72D297353CC}">
              <c16:uniqueId val="{00000000-6C6E-463D-AA0D-9B8D0E36C23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[$$]#,##0_);[Red]\([$$]#,##0\)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1333500</xdr:colOff>
      <xdr:row>15</xdr:row>
      <xdr:rowOff>160020</xdr:rowOff>
    </xdr:from>
    <xdr:to>
      <xdr:col>6</xdr:col>
      <xdr:colOff>3253740</xdr:colOff>
      <xdr:row>31</xdr:row>
      <xdr:rowOff>60960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5</xdr:col>
      <xdr:colOff>556260</xdr:colOff>
      <xdr:row>37</xdr:row>
      <xdr:rowOff>7620</xdr:rowOff>
    </xdr:to>
    <xdr:sp macro="" textlink="">
      <xdr:nvSpPr>
        <xdr:cNvPr id="2057" name="Text Box 9" hidden="1">
          <a:extLst>
            <a:ext uri="{FF2B5EF4-FFF2-40B4-BE49-F238E27FC236}">
              <a16:creationId xmlns:a16="http://schemas.microsoft.com/office/drawing/2014/main" id="{7B9CB10D-BD3D-32C0-7A63-6E8D67CB7B58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7620000" cy="762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5</xdr:col>
      <xdr:colOff>556260</xdr:colOff>
      <xdr:row>37</xdr:row>
      <xdr:rowOff>7620</xdr:rowOff>
    </xdr:to>
    <xdr:sp macro="" textlink="">
      <xdr:nvSpPr>
        <xdr:cNvPr id="2" name="AutoShape 9">
          <a:extLst>
            <a:ext uri="{FF2B5EF4-FFF2-40B4-BE49-F238E27FC236}">
              <a16:creationId xmlns:a16="http://schemas.microsoft.com/office/drawing/2014/main" id="{79896383-5D48-DF97-F4EF-9C9CA00DFE5D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7620000" cy="748284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persons/person.xml><?xml version="1.0" encoding="utf-8"?>
<xltc:personList xmlns:xltc="http://schemas.microsoft.com/office/spreadsheetml/2018/threadedcomments">
  <xltc:person displayName="Ruiyuan Yin" id="{F917F10F-CD09-46A1-9330-7E2B21D2663B}"/>
</xltc:personList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.xml><?xml version="1.0" encoding="utf-8"?>
<xltc:ThreadedComments xmlns:xltc="http://schemas.microsoft.com/office/spreadsheetml/2018/threadedcomments">
  <xltc:threadedComment ref="C12" dT="2026-07-27T16:05:47.604" personId="{F917F10F-CD09-46A1-9330-7E2B21D2663B}" id="{648ECC48-CF2F-C51E-7B74-585738C50C93}">
    <xltc:text>Analyst assumption: 1.0% of Fari SAM captured within three years.</xltc:text>
  </xltc:threadedComment>
  <xltc:threadedComment ref="C13" dT="2026-07-27T16:05:47.605" personId="{F917F10F-CD09-46A1-9330-7E2B21D2663B}" id="{9F8A724C-0584-D366-D352-A92A1F819B5C}">
    <xltc:text>Formula: midpoint of the $5,000–$25,000 Week 1 Tier 2 estimate.</xltc:text>
  </xltc:threadedComment>
  <xltc:threadedComment ref="C21" dT="2026-07-27T16:05:47.605" personId="{F917F10F-CD09-46A1-9330-7E2B21D2663B}" id="{44327DB3-509F-58AE-D481-9661885663E8}">
    <xltc:text>Analyst assumption: 0.5% of target schools captured within three years.</xltc:text>
  </xltc:threadedComment>
  <xltc:threadedComment ref="C22" dT="2026-07-27T16:05:47.605" personId="{F917F10F-CD09-46A1-9330-7E2B21D2663B}" id="{60275CE2-D29E-CD6F-70FD-8FD3C8874DA0}">
    <xltc:text>Source: public NAO V6 institutional price used as a Senpai analogue.</xltc:text>
  </xltc:threadedComment>
  <xltc:threadedComment ref="C34" dT="2026-07-27T16:05:47.605" personId="{F917F10F-CD09-46A1-9330-7E2B21D2663B}" id="{4CE71038-2710-21ED-1F6F-DD6E7AFFE0E6}">
    <xltc:text>Base assumption: 0.03% of selected target-industry guard FTE pool captured within three years.</xltc:text>
  </xltc:threadedComment>
  <xltc:threadedComment ref="C35" dT="2026-07-27T16:05:47.605" personId="{F917F10F-CD09-46A1-9330-7E2B21D2663B}" id="{57641098-C267-278A-0EE9-415F864E0AE8}">
    <xltc:text>The former 0.1% case is retained as the High scenario rather than the base case.</xltc:text>
  </xltc:threadedComment>
  <xltc:threadedComment ref="C39" dT="2026-07-27T16:05:47.605" personId="{F917F10F-CD09-46A1-9330-7E2B21D2663B}" id="{EA7E64D2-6B7B-D73D-B610-5C5787D158EC}">
    <xltc:text>Derivation: midpoint of the Week 1 Tier 3 estimate. This is a one-time system estimate, not an InGen quote.</xltc:text>
  </xltc:threadedComment>
  <xltc:threadedComment ref="C40" dT="2026-07-27T16:05:47.605" personId="{F917F10F-CD09-46A1-9330-7E2B21D2663B}" id="{83FAB18D-8371-80F9-AE56-0F227D6E86CC}">
    <xltc:text>Sizing convention only: one deployment is mapped to one guard FTE opportunity.</xltc:text>
  </xltc:threadedComment>
</xltc:ThreadedComments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05ec5bc5a79d4ad8" Type="http://schemas.microsoft.com/office/2017/10/relationships/threadedComment" Target="../threadedcomments/threadedcomment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1"/>
  <sheetViews>
    <sheetView workbookViewId="0">
      <selection activeCell="C18" sqref="C18"/>
    </sheetView>
  </sheetViews>
  <sheetFormatPr defaultRowHeight="13.8"/>
  <cols>
    <col min="1" max="1" width="22" customWidth="1"/>
    <col min="2" max="2" width="12" customWidth="1"/>
    <col min="3" max="3" width="19" customWidth="1"/>
    <col min="4" max="4" width="21" customWidth="1"/>
    <col min="5" max="5" width="19" customWidth="1"/>
    <col min="6" max="6" width="23" customWidth="1"/>
    <col min="7" max="7" width="49" customWidth="1"/>
    <col min="9" max="9" width="23" customWidth="1"/>
    <col min="10" max="10" width="20" customWidth="1"/>
    <col min="11" max="14" width="12" customWidth="1"/>
  </cols>
  <sheetData>
    <row r="1" spans="1:10" ht="27" customHeight="1">
      <c r="A1" s="31" t="s">
        <v>0</v>
      </c>
      <c r="B1" s="31"/>
      <c r="C1" s="31"/>
      <c r="D1" s="31"/>
      <c r="E1" s="31"/>
      <c r="F1" s="31"/>
      <c r="G1" s="31"/>
    </row>
    <row r="2" spans="1:10" ht="3" hidden="1" customHeight="1">
      <c r="A2" s="31"/>
      <c r="B2" s="31"/>
      <c r="C2" s="31"/>
      <c r="D2" s="31"/>
      <c r="E2" s="31"/>
      <c r="F2" s="31"/>
      <c r="G2" s="31"/>
    </row>
    <row r="3" spans="1:10" hidden="1">
      <c r="A3" s="31"/>
      <c r="B3" s="31"/>
      <c r="C3" s="31"/>
      <c r="D3" s="31"/>
      <c r="E3" s="31"/>
      <c r="F3" s="31"/>
      <c r="G3" s="31"/>
    </row>
    <row r="4" spans="1:10" ht="22.05" customHeight="1">
      <c r="A4" s="30" t="s">
        <v>1</v>
      </c>
      <c r="B4" s="30"/>
      <c r="C4" s="30"/>
      <c r="D4" s="30"/>
      <c r="E4" s="30"/>
      <c r="F4" s="30"/>
      <c r="G4" s="30"/>
      <c r="I4" s="30" t="s">
        <v>2</v>
      </c>
      <c r="J4" s="30"/>
    </row>
    <row r="5" spans="1:10" ht="28.05" customHeight="1">
      <c r="A5" s="1" t="s">
        <v>3</v>
      </c>
      <c r="B5" s="1" t="s">
        <v>4</v>
      </c>
      <c r="C5" s="1" t="s">
        <v>5</v>
      </c>
      <c r="D5" s="1" t="s">
        <v>6</v>
      </c>
      <c r="E5" s="1" t="s">
        <v>7</v>
      </c>
      <c r="F5" s="1" t="s">
        <v>8</v>
      </c>
      <c r="G5" s="1" t="s">
        <v>9</v>
      </c>
      <c r="I5" s="1" t="s">
        <v>3</v>
      </c>
      <c r="J5" s="1" t="s">
        <v>10</v>
      </c>
    </row>
    <row r="6" spans="1:10" ht="15" customHeight="1">
      <c r="A6" s="4" t="s">
        <v>11</v>
      </c>
      <c r="B6" s="4" t="s">
        <v>12</v>
      </c>
      <c r="C6" s="14">
        <f>Fari!B6</f>
        <v>14695</v>
      </c>
      <c r="D6" s="4" t="s">
        <v>13</v>
      </c>
      <c r="E6" s="13">
        <f>Fari!D6</f>
        <v>15000</v>
      </c>
      <c r="F6" s="13">
        <f>Fari!E6</f>
        <v>220425000</v>
      </c>
      <c r="G6" s="4" t="s">
        <v>14</v>
      </c>
      <c r="I6" s="4" t="s">
        <v>11</v>
      </c>
      <c r="J6" s="13">
        <f>F8</f>
        <v>1110000</v>
      </c>
    </row>
    <row r="7" spans="1:10" ht="15" customHeight="1">
      <c r="A7" s="4" t="s">
        <v>11</v>
      </c>
      <c r="B7" s="4" t="s">
        <v>15</v>
      </c>
      <c r="C7" s="14">
        <f>Fari!B7</f>
        <v>7395</v>
      </c>
      <c r="D7" s="4" t="s">
        <v>13</v>
      </c>
      <c r="E7" s="13">
        <f>Fari!D7</f>
        <v>15000</v>
      </c>
      <c r="F7" s="13">
        <f>Fari!E7</f>
        <v>110925000</v>
      </c>
      <c r="G7" s="4" t="s">
        <v>16</v>
      </c>
      <c r="I7" s="4" t="s">
        <v>17</v>
      </c>
      <c r="J7" s="13">
        <f>F11</f>
        <v>2395590</v>
      </c>
    </row>
    <row r="8" spans="1:10" ht="15" customHeight="1">
      <c r="A8" s="7" t="s">
        <v>11</v>
      </c>
      <c r="B8" s="7" t="s">
        <v>18</v>
      </c>
      <c r="C8" s="15">
        <f>Fari!B8</f>
        <v>74</v>
      </c>
      <c r="D8" s="7" t="s">
        <v>13</v>
      </c>
      <c r="E8" s="13">
        <f>Fari!D8</f>
        <v>15000</v>
      </c>
      <c r="F8" s="13">
        <f>Fari!E8</f>
        <v>1110000</v>
      </c>
      <c r="G8" s="7" t="s">
        <v>19</v>
      </c>
      <c r="I8" s="4" t="s">
        <v>20</v>
      </c>
      <c r="J8" s="13">
        <f>F14</f>
        <v>17250000</v>
      </c>
    </row>
    <row r="9" spans="1:10" ht="15" customHeight="1">
      <c r="A9" s="4" t="s">
        <v>17</v>
      </c>
      <c r="B9" s="4" t="s">
        <v>12</v>
      </c>
      <c r="C9" s="14">
        <f>Senpai!B6</f>
        <v>100237</v>
      </c>
      <c r="D9" s="4" t="s">
        <v>21</v>
      </c>
      <c r="E9" s="13">
        <f>Senpai!D6</f>
        <v>16990</v>
      </c>
      <c r="F9" s="13">
        <f>Senpai!E6</f>
        <v>1703026630</v>
      </c>
      <c r="G9" s="4" t="s">
        <v>22</v>
      </c>
    </row>
    <row r="10" spans="1:10" ht="15" customHeight="1">
      <c r="A10" s="4" t="s">
        <v>17</v>
      </c>
      <c r="B10" s="4" t="s">
        <v>15</v>
      </c>
      <c r="C10" s="14">
        <f>Senpai!B7</f>
        <v>28218</v>
      </c>
      <c r="D10" s="4" t="s">
        <v>21</v>
      </c>
      <c r="E10" s="13">
        <f>Senpai!D7</f>
        <v>16990</v>
      </c>
      <c r="F10" s="13">
        <f>Senpai!E7</f>
        <v>479423820</v>
      </c>
      <c r="G10" s="4" t="s">
        <v>23</v>
      </c>
    </row>
    <row r="11" spans="1:10" ht="15" customHeight="1">
      <c r="A11" s="7" t="s">
        <v>17</v>
      </c>
      <c r="B11" s="7" t="s">
        <v>18</v>
      </c>
      <c r="C11" s="15">
        <f>Senpai!B8</f>
        <v>141</v>
      </c>
      <c r="D11" s="7" t="s">
        <v>21</v>
      </c>
      <c r="E11" s="13">
        <f>Senpai!D8</f>
        <v>16990</v>
      </c>
      <c r="F11" s="13">
        <f>Senpai!E8</f>
        <v>2395590</v>
      </c>
      <c r="G11" s="7" t="s">
        <v>24</v>
      </c>
    </row>
    <row r="12" spans="1:10" ht="15" customHeight="1">
      <c r="A12" s="4" t="s">
        <v>20</v>
      </c>
      <c r="B12" s="4" t="s">
        <v>12</v>
      </c>
      <c r="C12" s="14">
        <f>Sentinel!B6</f>
        <v>1283470</v>
      </c>
      <c r="D12" s="4" t="s">
        <v>25</v>
      </c>
      <c r="E12" s="13">
        <f>Sentinel!E6</f>
        <v>62500</v>
      </c>
      <c r="F12" s="13">
        <f>Sentinel!F6</f>
        <v>80216875000</v>
      </c>
      <c r="G12" s="4" t="s">
        <v>26</v>
      </c>
    </row>
    <row r="13" spans="1:10" ht="15" customHeight="1">
      <c r="A13" s="4" t="s">
        <v>20</v>
      </c>
      <c r="B13" s="4" t="s">
        <v>15</v>
      </c>
      <c r="C13" s="14">
        <f>Sentinel!B7</f>
        <v>919750</v>
      </c>
      <c r="D13" s="4" t="s">
        <v>25</v>
      </c>
      <c r="E13" s="13">
        <f>Sentinel!E7</f>
        <v>62500</v>
      </c>
      <c r="F13" s="13">
        <f>Sentinel!F7</f>
        <v>57484375000</v>
      </c>
      <c r="G13" s="4" t="s">
        <v>27</v>
      </c>
    </row>
    <row r="14" spans="1:10" ht="15" customHeight="1">
      <c r="A14" s="7" t="s">
        <v>20</v>
      </c>
      <c r="B14" s="7" t="s">
        <v>18</v>
      </c>
      <c r="C14" s="15">
        <f>Sentinel!B8</f>
        <v>276</v>
      </c>
      <c r="D14" s="7" t="s">
        <v>25</v>
      </c>
      <c r="E14" s="13">
        <f>Sentinel!E8</f>
        <v>62500</v>
      </c>
      <c r="F14" s="13">
        <f>Sentinel!F8</f>
        <v>17250000</v>
      </c>
      <c r="G14" s="7" t="s">
        <v>28</v>
      </c>
    </row>
    <row r="17" ht="15" customHeight="1"/>
    <row r="18" ht="26.4" customHeight="1"/>
    <row r="19" ht="26.4" customHeight="1"/>
    <row r="20" ht="39.6" customHeight="1"/>
    <row r="21" ht="26.4" customHeight="1"/>
  </sheetData>
  <mergeCells count="3">
    <mergeCell ref="A4:G4"/>
    <mergeCell ref="I4:J4"/>
    <mergeCell ref="A1:G3"/>
  </mergeCells>
  <phoneticPr fontId="6" type="noConversion"/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40"/>
  <sheetViews>
    <sheetView topLeftCell="A11" workbookViewId="0">
      <selection activeCell="J23" sqref="J23"/>
    </sheetView>
  </sheetViews>
  <sheetFormatPr defaultRowHeight="13.8"/>
  <cols>
    <col min="1" max="1" width="13" customWidth="1"/>
    <col min="2" max="2" width="36" customWidth="1"/>
    <col min="3" max="3" width="17" customWidth="1"/>
    <col min="4" max="4" width="18" customWidth="1"/>
    <col min="5" max="5" width="19" customWidth="1"/>
    <col min="6" max="6" width="12" customWidth="1"/>
    <col min="7" max="7" width="58" customWidth="1"/>
  </cols>
  <sheetData>
    <row r="1" spans="1:7" ht="25.8" customHeight="1">
      <c r="A1" s="31" t="s">
        <v>29</v>
      </c>
      <c r="B1" s="31"/>
      <c r="C1" s="31"/>
      <c r="D1" s="31"/>
      <c r="E1" s="31"/>
      <c r="F1" s="31"/>
      <c r="G1" s="31"/>
    </row>
    <row r="2" spans="1:7" ht="19.8" hidden="1" customHeight="1">
      <c r="A2" s="31"/>
      <c r="B2" s="31"/>
      <c r="C2" s="31"/>
      <c r="D2" s="31"/>
      <c r="E2" s="31"/>
      <c r="F2" s="31"/>
      <c r="G2" s="31"/>
    </row>
    <row r="3" spans="1:7" ht="19.95" customHeight="1">
      <c r="A3" s="32" t="s">
        <v>30</v>
      </c>
      <c r="B3" s="32"/>
      <c r="C3" s="32"/>
      <c r="D3" s="32"/>
      <c r="E3" s="32"/>
      <c r="F3" s="32"/>
      <c r="G3" s="2"/>
    </row>
    <row r="5" spans="1:7" ht="28.05" customHeight="1">
      <c r="A5" s="1" t="s">
        <v>3</v>
      </c>
      <c r="B5" s="1" t="s">
        <v>31</v>
      </c>
      <c r="C5" s="1" t="s">
        <v>32</v>
      </c>
      <c r="D5" s="1" t="s">
        <v>33</v>
      </c>
      <c r="E5" s="1" t="s">
        <v>34</v>
      </c>
      <c r="F5" s="1" t="s">
        <v>35</v>
      </c>
      <c r="G5" s="1" t="s">
        <v>36</v>
      </c>
    </row>
    <row r="6" spans="1:7" ht="15" customHeight="1">
      <c r="A6" s="4" t="s">
        <v>11</v>
      </c>
      <c r="B6" s="4" t="s">
        <v>37</v>
      </c>
      <c r="C6" s="14">
        <v>14695</v>
      </c>
      <c r="D6" s="4" t="s">
        <v>38</v>
      </c>
      <c r="E6" s="4" t="s">
        <v>39</v>
      </c>
      <c r="F6" s="4" t="s">
        <v>40</v>
      </c>
      <c r="G6" s="4" t="s">
        <v>41</v>
      </c>
    </row>
    <row r="7" spans="1:7" ht="15" customHeight="1">
      <c r="A7" s="4" t="s">
        <v>11</v>
      </c>
      <c r="B7" s="4" t="s">
        <v>42</v>
      </c>
      <c r="C7" s="14">
        <v>1568348</v>
      </c>
      <c r="D7" s="4" t="s">
        <v>43</v>
      </c>
      <c r="E7" s="4" t="s">
        <v>39</v>
      </c>
      <c r="F7" s="4" t="s">
        <v>40</v>
      </c>
      <c r="G7" s="4" t="s">
        <v>44</v>
      </c>
    </row>
    <row r="8" spans="1:7">
      <c r="A8" s="4" t="s">
        <v>11</v>
      </c>
      <c r="B8" s="4" t="s">
        <v>45</v>
      </c>
      <c r="C8" s="14">
        <v>1247194.3999999999</v>
      </c>
      <c r="D8" s="4" t="s">
        <v>46</v>
      </c>
      <c r="E8" s="4" t="s">
        <v>39</v>
      </c>
      <c r="F8" s="4" t="s">
        <v>40</v>
      </c>
      <c r="G8" s="4" t="s">
        <v>47</v>
      </c>
    </row>
    <row r="9" spans="1:7" ht="15" customHeight="1">
      <c r="A9" s="4" t="s">
        <v>11</v>
      </c>
      <c r="B9" s="4" t="s">
        <v>48</v>
      </c>
      <c r="C9" s="14">
        <v>7395</v>
      </c>
      <c r="D9" s="4" t="s">
        <v>38</v>
      </c>
      <c r="E9" s="4" t="s">
        <v>49</v>
      </c>
      <c r="F9" s="4" t="s">
        <v>40</v>
      </c>
      <c r="G9" s="4" t="s">
        <v>16</v>
      </c>
    </row>
    <row r="10" spans="1:7" ht="15" customHeight="1">
      <c r="A10" s="4" t="s">
        <v>11</v>
      </c>
      <c r="B10" s="4" t="s">
        <v>50</v>
      </c>
      <c r="C10" s="14">
        <v>1086260</v>
      </c>
      <c r="D10" s="4" t="s">
        <v>43</v>
      </c>
      <c r="E10" s="4" t="s">
        <v>49</v>
      </c>
      <c r="F10" s="4" t="s">
        <v>40</v>
      </c>
      <c r="G10" s="4" t="s">
        <v>51</v>
      </c>
    </row>
    <row r="11" spans="1:7" ht="15" customHeight="1">
      <c r="A11" s="4" t="s">
        <v>11</v>
      </c>
      <c r="B11" s="4" t="s">
        <v>52</v>
      </c>
      <c r="C11" s="14">
        <v>854862</v>
      </c>
      <c r="D11" s="4" t="s">
        <v>46</v>
      </c>
      <c r="E11" s="4" t="s">
        <v>49</v>
      </c>
      <c r="F11" s="4" t="s">
        <v>40</v>
      </c>
      <c r="G11" s="4" t="s">
        <v>53</v>
      </c>
    </row>
    <row r="12" spans="1:7" ht="15" customHeight="1">
      <c r="A12" s="4" t="s">
        <v>11</v>
      </c>
      <c r="B12" s="4" t="s">
        <v>54</v>
      </c>
      <c r="C12" s="12">
        <v>0.01</v>
      </c>
      <c r="D12" s="4" t="s">
        <v>55</v>
      </c>
      <c r="E12" s="4" t="s">
        <v>56</v>
      </c>
      <c r="F12" s="4" t="s">
        <v>57</v>
      </c>
      <c r="G12" s="4" t="s">
        <v>58</v>
      </c>
    </row>
    <row r="13" spans="1:7" ht="15" customHeight="1">
      <c r="A13" s="4" t="s">
        <v>11</v>
      </c>
      <c r="B13" s="4" t="s">
        <v>59</v>
      </c>
      <c r="C13" s="13">
        <f>AVERAGE(C14:C15)</f>
        <v>15000</v>
      </c>
      <c r="D13" s="4" t="s">
        <v>60</v>
      </c>
      <c r="E13" s="4" t="s">
        <v>61</v>
      </c>
      <c r="F13" s="4" t="s">
        <v>62</v>
      </c>
      <c r="G13" s="4" t="s">
        <v>63</v>
      </c>
    </row>
    <row r="14" spans="1:7" ht="15" customHeight="1">
      <c r="A14" s="4" t="s">
        <v>11</v>
      </c>
      <c r="B14" s="4" t="s">
        <v>64</v>
      </c>
      <c r="C14" s="16">
        <v>5000</v>
      </c>
      <c r="D14" s="4" t="s">
        <v>60</v>
      </c>
      <c r="E14" s="4" t="s">
        <v>56</v>
      </c>
      <c r="F14" s="4" t="s">
        <v>62</v>
      </c>
      <c r="G14" s="4" t="s">
        <v>65</v>
      </c>
    </row>
    <row r="15" spans="1:7" ht="15" customHeight="1">
      <c r="A15" s="4" t="s">
        <v>11</v>
      </c>
      <c r="B15" s="4" t="s">
        <v>66</v>
      </c>
      <c r="C15" s="16">
        <v>25000</v>
      </c>
      <c r="D15" s="4" t="s">
        <v>60</v>
      </c>
      <c r="E15" s="4" t="s">
        <v>56</v>
      </c>
      <c r="F15" s="4" t="s">
        <v>62</v>
      </c>
      <c r="G15" s="4" t="s">
        <v>65</v>
      </c>
    </row>
    <row r="16" spans="1:7">
      <c r="A16" s="4" t="s">
        <v>17</v>
      </c>
      <c r="B16" s="4" t="s">
        <v>67</v>
      </c>
      <c r="C16" s="6">
        <v>100237</v>
      </c>
      <c r="D16" s="4" t="s">
        <v>68</v>
      </c>
      <c r="E16" s="4" t="s">
        <v>49</v>
      </c>
      <c r="F16" s="4" t="s">
        <v>69</v>
      </c>
      <c r="G16" s="4" t="s">
        <v>70</v>
      </c>
    </row>
    <row r="17" spans="1:7" ht="15" customHeight="1">
      <c r="A17" s="4" t="s">
        <v>17</v>
      </c>
      <c r="B17" s="4" t="s">
        <v>71</v>
      </c>
      <c r="C17" s="14">
        <v>49342639</v>
      </c>
      <c r="D17" s="4" t="s">
        <v>72</v>
      </c>
      <c r="E17" s="4" t="s">
        <v>49</v>
      </c>
      <c r="F17" s="4" t="s">
        <v>73</v>
      </c>
      <c r="G17" s="4" t="s">
        <v>74</v>
      </c>
    </row>
    <row r="18" spans="1:7" ht="15" customHeight="1">
      <c r="A18" s="4" t="s">
        <v>17</v>
      </c>
      <c r="B18" s="4" t="s">
        <v>75</v>
      </c>
      <c r="C18" s="14">
        <v>28218</v>
      </c>
      <c r="D18" s="4" t="s">
        <v>68</v>
      </c>
      <c r="E18" s="4" t="s">
        <v>49</v>
      </c>
      <c r="F18" s="4" t="s">
        <v>69</v>
      </c>
      <c r="G18" s="4" t="s">
        <v>76</v>
      </c>
    </row>
    <row r="19" spans="1:7" ht="15" customHeight="1">
      <c r="A19" s="4" t="s">
        <v>17</v>
      </c>
      <c r="B19" s="4" t="s">
        <v>77</v>
      </c>
      <c r="C19" s="14">
        <v>21040790</v>
      </c>
      <c r="D19" s="4" t="s">
        <v>72</v>
      </c>
      <c r="E19" s="4" t="s">
        <v>49</v>
      </c>
      <c r="F19" s="4" t="s">
        <v>73</v>
      </c>
      <c r="G19" s="4" t="s">
        <v>78</v>
      </c>
    </row>
    <row r="20" spans="1:7" ht="15" customHeight="1">
      <c r="A20" s="4" t="s">
        <v>17</v>
      </c>
      <c r="B20" s="4" t="s">
        <v>79</v>
      </c>
      <c r="C20" s="14">
        <v>19314776</v>
      </c>
      <c r="D20" s="4" t="s">
        <v>72</v>
      </c>
      <c r="E20" s="4" t="s">
        <v>49</v>
      </c>
      <c r="F20" s="4" t="s">
        <v>73</v>
      </c>
      <c r="G20" s="4" t="s">
        <v>80</v>
      </c>
    </row>
    <row r="21" spans="1:7" ht="15" customHeight="1">
      <c r="A21" s="4" t="s">
        <v>17</v>
      </c>
      <c r="B21" s="4" t="s">
        <v>54</v>
      </c>
      <c r="C21" s="12">
        <v>5.0000000000000001E-3</v>
      </c>
      <c r="D21" s="4" t="s">
        <v>55</v>
      </c>
      <c r="E21" s="4" t="s">
        <v>56</v>
      </c>
      <c r="F21" s="4" t="s">
        <v>57</v>
      </c>
      <c r="G21" s="4" t="s">
        <v>81</v>
      </c>
    </row>
    <row r="22" spans="1:7" ht="15" customHeight="1">
      <c r="A22" s="4" t="s">
        <v>17</v>
      </c>
      <c r="B22" s="4" t="s">
        <v>82</v>
      </c>
      <c r="C22" s="5">
        <v>16990</v>
      </c>
      <c r="D22" s="4" t="s">
        <v>83</v>
      </c>
      <c r="E22" s="4" t="s">
        <v>84</v>
      </c>
      <c r="F22" s="4" t="s">
        <v>85</v>
      </c>
      <c r="G22" s="4" t="s">
        <v>86</v>
      </c>
    </row>
    <row r="23" spans="1:7" ht="15" customHeight="1">
      <c r="A23" s="4" t="s">
        <v>17</v>
      </c>
      <c r="B23" s="4" t="s">
        <v>87</v>
      </c>
      <c r="C23" s="11">
        <v>1</v>
      </c>
      <c r="D23" s="4" t="s">
        <v>88</v>
      </c>
      <c r="E23" s="4" t="s">
        <v>56</v>
      </c>
      <c r="F23" s="4" t="s">
        <v>57</v>
      </c>
      <c r="G23" s="4" t="s">
        <v>89</v>
      </c>
    </row>
    <row r="24" spans="1:7" ht="15" customHeight="1">
      <c r="A24" s="4" t="s">
        <v>17</v>
      </c>
      <c r="B24" s="4" t="s">
        <v>90</v>
      </c>
      <c r="C24" s="6">
        <v>101110</v>
      </c>
      <c r="D24" s="4" t="s">
        <v>68</v>
      </c>
      <c r="E24" s="4" t="s">
        <v>49</v>
      </c>
      <c r="F24" s="4" t="s">
        <v>91</v>
      </c>
      <c r="G24" s="4" t="s">
        <v>92</v>
      </c>
    </row>
    <row r="25" spans="1:7" ht="15" customHeight="1">
      <c r="A25" s="4" t="s">
        <v>17</v>
      </c>
      <c r="B25" s="4" t="s">
        <v>93</v>
      </c>
      <c r="C25" s="6">
        <v>501</v>
      </c>
      <c r="D25" s="4" t="s">
        <v>68</v>
      </c>
      <c r="E25" s="4" t="s">
        <v>39</v>
      </c>
      <c r="F25" s="4" t="s">
        <v>91</v>
      </c>
      <c r="G25" s="4" t="s">
        <v>94</v>
      </c>
    </row>
    <row r="26" spans="1:7" ht="15" customHeight="1">
      <c r="A26" s="4" t="s">
        <v>17</v>
      </c>
      <c r="B26" s="4" t="s">
        <v>95</v>
      </c>
      <c r="C26" s="6">
        <v>372</v>
      </c>
      <c r="D26" s="4" t="s">
        <v>68</v>
      </c>
      <c r="E26" s="4" t="s">
        <v>39</v>
      </c>
      <c r="F26" s="4" t="s">
        <v>91</v>
      </c>
      <c r="G26" s="4" t="s">
        <v>96</v>
      </c>
    </row>
    <row r="27" spans="1:7" ht="27.6">
      <c r="A27" s="4" t="s">
        <v>17</v>
      </c>
      <c r="B27" s="4" t="s">
        <v>97</v>
      </c>
      <c r="C27" s="6">
        <v>992</v>
      </c>
      <c r="D27" s="4" t="s">
        <v>68</v>
      </c>
      <c r="E27" s="4" t="s">
        <v>49</v>
      </c>
      <c r="F27" s="4" t="s">
        <v>69</v>
      </c>
      <c r="G27" s="4" t="s">
        <v>98</v>
      </c>
    </row>
    <row r="28" spans="1:7" ht="15" customHeight="1">
      <c r="A28" s="4" t="s">
        <v>99</v>
      </c>
      <c r="B28" s="4" t="s">
        <v>100</v>
      </c>
      <c r="C28" s="6">
        <v>1283470</v>
      </c>
      <c r="D28" s="4" t="s">
        <v>101</v>
      </c>
      <c r="E28" s="4" t="s">
        <v>39</v>
      </c>
      <c r="F28" s="4" t="s">
        <v>102</v>
      </c>
      <c r="G28" s="4" t="s">
        <v>103</v>
      </c>
    </row>
    <row r="29" spans="1:7" ht="15" customHeight="1">
      <c r="A29" s="4" t="s">
        <v>99</v>
      </c>
      <c r="B29" s="4" t="s">
        <v>104</v>
      </c>
      <c r="C29" s="5">
        <v>42470</v>
      </c>
      <c r="D29" s="4" t="s">
        <v>105</v>
      </c>
      <c r="E29" s="4" t="s">
        <v>39</v>
      </c>
      <c r="F29" s="4" t="s">
        <v>102</v>
      </c>
      <c r="G29" s="4" t="s">
        <v>106</v>
      </c>
    </row>
    <row r="30" spans="1:7" ht="15" customHeight="1">
      <c r="A30" s="4" t="s">
        <v>99</v>
      </c>
      <c r="B30" s="4" t="s">
        <v>107</v>
      </c>
      <c r="C30" s="5">
        <f>C28*C29</f>
        <v>54508970900</v>
      </c>
      <c r="D30" s="4" t="s">
        <v>108</v>
      </c>
      <c r="E30" s="4" t="s">
        <v>61</v>
      </c>
      <c r="F30" s="4" t="s">
        <v>102</v>
      </c>
      <c r="G30" s="4" t="s">
        <v>109</v>
      </c>
    </row>
    <row r="31" spans="1:7" ht="26.4" customHeight="1">
      <c r="A31" s="4" t="s">
        <v>99</v>
      </c>
      <c r="B31" s="4" t="s">
        <v>110</v>
      </c>
      <c r="C31" s="6">
        <v>919750</v>
      </c>
      <c r="D31" s="4" t="s">
        <v>101</v>
      </c>
      <c r="E31" s="4" t="s">
        <v>49</v>
      </c>
      <c r="F31" s="4" t="s">
        <v>111</v>
      </c>
      <c r="G31" s="4" t="s">
        <v>112</v>
      </c>
    </row>
    <row r="32" spans="1:7" ht="15" customHeight="1">
      <c r="A32" s="4" t="s">
        <v>99</v>
      </c>
      <c r="B32" s="4" t="s">
        <v>113</v>
      </c>
      <c r="C32" s="5">
        <v>39074694700</v>
      </c>
      <c r="D32" s="4" t="s">
        <v>108</v>
      </c>
      <c r="E32" s="4" t="s">
        <v>49</v>
      </c>
      <c r="F32" s="4" t="s">
        <v>111</v>
      </c>
      <c r="G32" s="4" t="s">
        <v>114</v>
      </c>
    </row>
    <row r="33" spans="1:7" ht="15" customHeight="1">
      <c r="A33" s="4" t="s">
        <v>99</v>
      </c>
      <c r="B33" s="4" t="s">
        <v>115</v>
      </c>
      <c r="C33" s="12">
        <v>2.0000000000000001E-4</v>
      </c>
      <c r="D33" s="4" t="s">
        <v>55</v>
      </c>
      <c r="E33" s="4" t="s">
        <v>56</v>
      </c>
      <c r="F33" s="4" t="s">
        <v>57</v>
      </c>
      <c r="G33" s="4" t="s">
        <v>116</v>
      </c>
    </row>
    <row r="34" spans="1:7" ht="15" customHeight="1">
      <c r="A34" s="4" t="s">
        <v>99</v>
      </c>
      <c r="B34" s="4" t="s">
        <v>117</v>
      </c>
      <c r="C34" s="12">
        <v>2.9999999999999997E-4</v>
      </c>
      <c r="D34" s="4" t="s">
        <v>55</v>
      </c>
      <c r="E34" s="4" t="s">
        <v>56</v>
      </c>
      <c r="F34" s="4" t="s">
        <v>57</v>
      </c>
      <c r="G34" s="4" t="s">
        <v>118</v>
      </c>
    </row>
    <row r="35" spans="1:7" ht="15" customHeight="1">
      <c r="A35" s="4" t="s">
        <v>99</v>
      </c>
      <c r="B35" s="4" t="s">
        <v>119</v>
      </c>
      <c r="C35" s="12">
        <v>1E-3</v>
      </c>
      <c r="D35" s="4" t="s">
        <v>55</v>
      </c>
      <c r="E35" s="4" t="s">
        <v>56</v>
      </c>
      <c r="F35" s="4" t="s">
        <v>57</v>
      </c>
      <c r="G35" s="4" t="s">
        <v>120</v>
      </c>
    </row>
    <row r="36" spans="1:7" ht="15" customHeight="1">
      <c r="A36" s="4" t="s">
        <v>99</v>
      </c>
      <c r="B36" s="4" t="s">
        <v>121</v>
      </c>
      <c r="C36" s="6">
        <v>3128</v>
      </c>
      <c r="D36" s="4" t="s">
        <v>122</v>
      </c>
      <c r="E36" s="4" t="s">
        <v>39</v>
      </c>
      <c r="F36" s="4" t="s">
        <v>123</v>
      </c>
      <c r="G36" s="4" t="s">
        <v>124</v>
      </c>
    </row>
    <row r="37" spans="1:7" ht="15" customHeight="1">
      <c r="A37" s="4" t="s">
        <v>99</v>
      </c>
      <c r="B37" s="4" t="s">
        <v>125</v>
      </c>
      <c r="C37" s="12">
        <v>0.75</v>
      </c>
      <c r="D37" s="4" t="s">
        <v>126</v>
      </c>
      <c r="E37" s="4" t="s">
        <v>49</v>
      </c>
      <c r="F37" s="4" t="s">
        <v>123</v>
      </c>
      <c r="G37" s="4" t="s">
        <v>127</v>
      </c>
    </row>
    <row r="38" spans="1:7" ht="15" customHeight="1">
      <c r="A38" s="4" t="s">
        <v>99</v>
      </c>
      <c r="B38" s="4" t="s">
        <v>128</v>
      </c>
      <c r="C38" s="6">
        <f>C36*C37</f>
        <v>2346</v>
      </c>
      <c r="D38" s="4" t="s">
        <v>122</v>
      </c>
      <c r="E38" s="4" t="s">
        <v>61</v>
      </c>
      <c r="F38" s="4" t="s">
        <v>123</v>
      </c>
      <c r="G38" s="4" t="s">
        <v>129</v>
      </c>
    </row>
    <row r="39" spans="1:7" ht="26.4" customHeight="1">
      <c r="A39" s="4" t="s">
        <v>99</v>
      </c>
      <c r="B39" s="4" t="s">
        <v>130</v>
      </c>
      <c r="C39" s="10">
        <v>62500</v>
      </c>
      <c r="D39" s="4" t="s">
        <v>131</v>
      </c>
      <c r="E39" s="4" t="s">
        <v>56</v>
      </c>
      <c r="F39" s="4" t="s">
        <v>132</v>
      </c>
      <c r="G39" s="4" t="s">
        <v>133</v>
      </c>
    </row>
    <row r="40" spans="1:7" ht="27.6">
      <c r="A40" s="4" t="s">
        <v>99</v>
      </c>
      <c r="B40" s="4" t="s">
        <v>134</v>
      </c>
      <c r="C40" s="11">
        <v>1</v>
      </c>
      <c r="D40" s="4" t="s">
        <v>135</v>
      </c>
      <c r="E40" s="4" t="s">
        <v>56</v>
      </c>
      <c r="F40" s="4" t="s">
        <v>57</v>
      </c>
      <c r="G40" s="4" t="s">
        <v>136</v>
      </c>
    </row>
  </sheetData>
  <mergeCells count="2">
    <mergeCell ref="A3:F3"/>
    <mergeCell ref="A1:G2"/>
  </mergeCells>
  <phoneticPr fontId="6" type="noConversion"/>
  <pageMargins left="0.7" right="0.7" top="0.75" bottom="0.75" header="0.3" footer="0.3"/>
  <ignoredErrors>
    <ignoredError sqref="C13:C15" formulaRange="1"/>
  </ignoredErrors>
  <drawing r:id="rId1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4"/>
  <sheetViews>
    <sheetView zoomScaleNormal="100" workbookViewId="0">
      <selection activeCell="D29" sqref="D29"/>
    </sheetView>
  </sheetViews>
  <sheetFormatPr defaultRowHeight="13.8"/>
  <cols>
    <col min="1" max="1" width="16" customWidth="1"/>
    <col min="2" max="2" width="21" customWidth="1"/>
    <col min="3" max="3" width="24" customWidth="1"/>
    <col min="4" max="4" width="20" customWidth="1"/>
    <col min="5" max="5" width="23" customWidth="1"/>
    <col min="6" max="6" width="58" customWidth="1"/>
  </cols>
  <sheetData>
    <row r="1" spans="1:6" ht="20.399999999999999" customHeight="1">
      <c r="A1" s="31" t="s">
        <v>137</v>
      </c>
      <c r="B1" s="31"/>
      <c r="C1" s="31"/>
      <c r="D1" s="31"/>
      <c r="E1" s="31"/>
      <c r="F1" s="31"/>
    </row>
    <row r="2" spans="1:6" ht="19.8" hidden="1" customHeight="1">
      <c r="A2" s="31"/>
      <c r="B2" s="31"/>
      <c r="C2" s="31"/>
      <c r="D2" s="31"/>
      <c r="E2" s="31"/>
      <c r="F2" s="31"/>
    </row>
    <row r="5" spans="1:6" ht="28.05" customHeight="1">
      <c r="A5" s="1" t="s">
        <v>4</v>
      </c>
      <c r="B5" s="1" t="s">
        <v>138</v>
      </c>
      <c r="C5" s="1" t="s">
        <v>139</v>
      </c>
      <c r="D5" s="1" t="s">
        <v>140</v>
      </c>
      <c r="E5" s="1" t="s">
        <v>8</v>
      </c>
      <c r="F5" s="1" t="s">
        <v>141</v>
      </c>
    </row>
    <row r="6" spans="1:6" ht="15" customHeight="1">
      <c r="A6" s="4" t="s">
        <v>12</v>
      </c>
      <c r="B6" s="6">
        <f>Assumptions!C6</f>
        <v>14695</v>
      </c>
      <c r="C6" s="6">
        <f>Assumptions!C8</f>
        <v>1247194.3999999999</v>
      </c>
      <c r="D6" s="5">
        <f>Assumptions!C13</f>
        <v>15000</v>
      </c>
      <c r="E6" s="5">
        <f>B6*D6</f>
        <v>220425000</v>
      </c>
      <c r="F6" s="4" t="s">
        <v>142</v>
      </c>
    </row>
    <row r="7" spans="1:6" ht="15" customHeight="1">
      <c r="A7" s="4" t="s">
        <v>15</v>
      </c>
      <c r="B7" s="6">
        <f>Assumptions!C9</f>
        <v>7395</v>
      </c>
      <c r="C7" s="6">
        <f>Assumptions!C11</f>
        <v>854862</v>
      </c>
      <c r="D7" s="5">
        <f>Assumptions!C13</f>
        <v>15000</v>
      </c>
      <c r="E7" s="5">
        <f>B7*D7</f>
        <v>110925000</v>
      </c>
      <c r="F7" s="4" t="s">
        <v>143</v>
      </c>
    </row>
    <row r="8" spans="1:6" ht="15" customHeight="1">
      <c r="A8" s="7" t="s">
        <v>18</v>
      </c>
      <c r="B8" s="8">
        <f>ROUND(Assumptions!C9*Assumptions!C12,0)</f>
        <v>74</v>
      </c>
      <c r="C8" s="8">
        <f>ROUND(Assumptions!C11*Assumptions!C12,0)</f>
        <v>8549</v>
      </c>
      <c r="D8" s="9">
        <f>Assumptions!C13</f>
        <v>15000</v>
      </c>
      <c r="E8" s="9">
        <f>B8*D8</f>
        <v>1110000</v>
      </c>
      <c r="F8" s="7" t="s">
        <v>144</v>
      </c>
    </row>
    <row r="10" spans="1:6">
      <c r="A10" s="35" t="s">
        <v>145</v>
      </c>
      <c r="B10" s="35"/>
      <c r="C10" s="35"/>
      <c r="D10" s="35"/>
      <c r="E10" s="35"/>
      <c r="F10" s="35"/>
    </row>
    <row r="11" spans="1:6" ht="15" customHeight="1">
      <c r="A11" s="17" t="s">
        <v>282</v>
      </c>
      <c r="B11" s="20" t="s">
        <v>283</v>
      </c>
      <c r="C11" s="20" t="s">
        <v>284</v>
      </c>
      <c r="D11" s="34" t="s">
        <v>285</v>
      </c>
      <c r="E11" s="34"/>
      <c r="F11" s="34"/>
    </row>
    <row r="12" spans="1:6" ht="15" customHeight="1">
      <c r="A12" s="18" t="s">
        <v>146</v>
      </c>
      <c r="B12" s="18" t="s">
        <v>147</v>
      </c>
      <c r="C12" s="18" t="s">
        <v>148</v>
      </c>
      <c r="D12" s="33" t="s">
        <v>149</v>
      </c>
      <c r="E12" s="33"/>
      <c r="F12" s="33"/>
    </row>
    <row r="13" spans="1:6" ht="26.4" customHeight="1">
      <c r="A13" s="18" t="s">
        <v>150</v>
      </c>
      <c r="B13" s="18" t="s">
        <v>151</v>
      </c>
      <c r="C13" s="18" t="s">
        <v>152</v>
      </c>
      <c r="D13" s="33" t="s">
        <v>153</v>
      </c>
      <c r="E13" s="33"/>
      <c r="F13" s="33"/>
    </row>
    <row r="14" spans="1:6" ht="15" customHeight="1">
      <c r="A14" s="18" t="s">
        <v>154</v>
      </c>
      <c r="B14" s="18" t="s">
        <v>155</v>
      </c>
      <c r="C14" s="19">
        <f>Assumptions!C12</f>
        <v>0.01</v>
      </c>
      <c r="D14" s="33" t="s">
        <v>156</v>
      </c>
      <c r="E14" s="33"/>
      <c r="F14" s="33"/>
    </row>
  </sheetData>
  <mergeCells count="6">
    <mergeCell ref="D13:F13"/>
    <mergeCell ref="D14:F14"/>
    <mergeCell ref="D11:F11"/>
    <mergeCell ref="A10:F10"/>
    <mergeCell ref="A1:F2"/>
    <mergeCell ref="D12:F12"/>
  </mergeCells>
  <phoneticPr fontId="6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7"/>
  <sheetViews>
    <sheetView workbookViewId="0">
      <selection activeCell="C24" sqref="C24"/>
    </sheetView>
  </sheetViews>
  <sheetFormatPr defaultRowHeight="13.8"/>
  <cols>
    <col min="1" max="1" width="22" customWidth="1"/>
    <col min="2" max="2" width="21" customWidth="1"/>
    <col min="3" max="3" width="22" customWidth="1"/>
    <col min="4" max="4" width="19" customWidth="1"/>
    <col min="5" max="5" width="23" customWidth="1"/>
    <col min="6" max="6" width="60" customWidth="1"/>
  </cols>
  <sheetData>
    <row r="1" spans="1:6" ht="21.6" customHeight="1">
      <c r="A1" s="31" t="s">
        <v>157</v>
      </c>
      <c r="B1" s="31"/>
      <c r="C1" s="31"/>
      <c r="D1" s="31"/>
      <c r="E1" s="31"/>
      <c r="F1" s="31"/>
    </row>
    <row r="2" spans="1:6" ht="19.8" hidden="1" customHeight="1">
      <c r="A2" s="31"/>
      <c r="B2" s="31"/>
      <c r="C2" s="31"/>
      <c r="D2" s="31"/>
      <c r="E2" s="31"/>
      <c r="F2" s="31"/>
    </row>
    <row r="3" spans="1:6" hidden="1">
      <c r="A3" s="31"/>
      <c r="B3" s="31"/>
      <c r="C3" s="31"/>
      <c r="D3" s="31"/>
      <c r="E3" s="31"/>
      <c r="F3" s="31"/>
    </row>
    <row r="4" spans="1:6" hidden="1">
      <c r="A4" s="36"/>
      <c r="B4" s="36"/>
      <c r="C4" s="36"/>
      <c r="D4" s="36"/>
      <c r="E4" s="36"/>
      <c r="F4" s="36"/>
    </row>
    <row r="5" spans="1:6" ht="28.05" customHeight="1">
      <c r="A5" s="1" t="s">
        <v>4</v>
      </c>
      <c r="B5" s="1" t="s">
        <v>158</v>
      </c>
      <c r="C5" s="21" t="s">
        <v>286</v>
      </c>
      <c r="D5" s="21" t="s">
        <v>287</v>
      </c>
      <c r="E5" s="1" t="s">
        <v>8</v>
      </c>
      <c r="F5" s="21" t="s">
        <v>288</v>
      </c>
    </row>
    <row r="6" spans="1:6" ht="15" customHeight="1">
      <c r="A6" s="4" t="s">
        <v>12</v>
      </c>
      <c r="B6" s="6">
        <f>Assumptions!C16</f>
        <v>100237</v>
      </c>
      <c r="C6" s="6">
        <f>Assumptions!C17</f>
        <v>49342639</v>
      </c>
      <c r="D6" s="5">
        <f>Assumptions!C22</f>
        <v>16990</v>
      </c>
      <c r="E6" s="5">
        <f>B6*D6</f>
        <v>1703026630</v>
      </c>
      <c r="F6" s="22" t="s">
        <v>289</v>
      </c>
    </row>
    <row r="7" spans="1:6" ht="27.6">
      <c r="A7" s="4" t="s">
        <v>15</v>
      </c>
      <c r="B7" s="6">
        <f>Assumptions!C18</f>
        <v>28218</v>
      </c>
      <c r="C7" s="6">
        <f>Assumptions!C19</f>
        <v>21040790</v>
      </c>
      <c r="D7" s="5">
        <f>Assumptions!C22</f>
        <v>16990</v>
      </c>
      <c r="E7" s="5">
        <f>B7*D7</f>
        <v>479423820</v>
      </c>
      <c r="F7" s="22" t="s">
        <v>290</v>
      </c>
    </row>
    <row r="8" spans="1:6">
      <c r="A8" s="7" t="s">
        <v>18</v>
      </c>
      <c r="B8" s="8">
        <f>ROUND(Assumptions!C18*Assumptions!C21,0)</f>
        <v>141</v>
      </c>
      <c r="C8" s="8">
        <f>ROUND(Assumptions!C19*Assumptions!C21,0)</f>
        <v>105204</v>
      </c>
      <c r="D8" s="9">
        <f>Assumptions!C22</f>
        <v>16990</v>
      </c>
      <c r="E8" s="9">
        <f>B8*D8</f>
        <v>2395590</v>
      </c>
      <c r="F8" s="23" t="s">
        <v>291</v>
      </c>
    </row>
    <row r="11" spans="1:6" ht="15" customHeight="1"/>
    <row r="12" spans="1:6" ht="15" customHeight="1"/>
    <row r="13" spans="1:6" ht="15" customHeight="1"/>
    <row r="14" spans="1:6" ht="15" customHeight="1"/>
    <row r="15" spans="1:6" ht="15" customHeight="1"/>
    <row r="16" spans="1:6" ht="15" customHeight="1"/>
    <row r="17" ht="16.2" customHeight="1"/>
  </sheetData>
  <mergeCells count="1">
    <mergeCell ref="A1:F4"/>
  </mergeCells>
  <phoneticPr fontId="6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31"/>
  <sheetViews>
    <sheetView topLeftCell="A2" zoomScaleNormal="100" workbookViewId="0">
      <selection activeCell="A11" sqref="A11:G11"/>
    </sheetView>
  </sheetViews>
  <sheetFormatPr defaultRowHeight="13.8"/>
  <cols>
    <col min="1" max="1" width="34" customWidth="1"/>
    <col min="2" max="2" width="24" customWidth="1"/>
    <col min="3" max="3" width="20" customWidth="1"/>
    <col min="4" max="4" width="46" customWidth="1"/>
    <col min="5" max="5" width="19" customWidth="1"/>
    <col min="6" max="6" width="23" customWidth="1"/>
    <col min="7" max="7" width="42" customWidth="1"/>
  </cols>
  <sheetData>
    <row r="1" spans="1:7" ht="27" customHeight="1">
      <c r="A1" s="31" t="s">
        <v>159</v>
      </c>
      <c r="B1" s="31"/>
      <c r="C1" s="31"/>
      <c r="D1" s="31"/>
      <c r="E1" s="31"/>
      <c r="F1" s="31"/>
      <c r="G1" s="31"/>
    </row>
    <row r="2" spans="1:7" ht="19.95" customHeight="1">
      <c r="A2" s="38" t="s">
        <v>299</v>
      </c>
      <c r="B2" s="39"/>
      <c r="C2" s="39"/>
      <c r="D2" s="39"/>
      <c r="E2" s="39"/>
      <c r="F2" s="39"/>
      <c r="G2" s="39"/>
    </row>
    <row r="5" spans="1:7" ht="28.05" customHeight="1">
      <c r="A5" s="1" t="s">
        <v>4</v>
      </c>
      <c r="B5" s="21" t="s">
        <v>293</v>
      </c>
      <c r="C5" s="21" t="s">
        <v>294</v>
      </c>
      <c r="D5" s="1" t="s">
        <v>160</v>
      </c>
      <c r="E5" s="21" t="s">
        <v>295</v>
      </c>
      <c r="F5" s="21" t="s">
        <v>296</v>
      </c>
      <c r="G5" s="21" t="s">
        <v>288</v>
      </c>
    </row>
    <row r="6" spans="1:7" ht="15" customHeight="1">
      <c r="A6" s="4" t="s">
        <v>12</v>
      </c>
      <c r="B6" s="6">
        <f>Assumptions!C28/Assumptions!C40</f>
        <v>1283470</v>
      </c>
      <c r="C6" s="6">
        <f>Assumptions!C28</f>
        <v>1283470</v>
      </c>
      <c r="D6" s="5">
        <f>Assumptions!C30</f>
        <v>54508970900</v>
      </c>
      <c r="E6" s="5">
        <f>Assumptions!C39</f>
        <v>62500</v>
      </c>
      <c r="F6" s="5">
        <f>B6*E6</f>
        <v>80216875000</v>
      </c>
      <c r="G6" s="4" t="s">
        <v>161</v>
      </c>
    </row>
    <row r="7" spans="1:7" ht="15" customHeight="1">
      <c r="A7" s="4" t="s">
        <v>15</v>
      </c>
      <c r="B7" s="6">
        <f>Assumptions!C31/Assumptions!C40</f>
        <v>919750</v>
      </c>
      <c r="C7" s="6">
        <f>Assumptions!C31</f>
        <v>919750</v>
      </c>
      <c r="D7" s="5">
        <f>Assumptions!C32</f>
        <v>39074694700</v>
      </c>
      <c r="E7" s="5">
        <f>Assumptions!C39</f>
        <v>62500</v>
      </c>
      <c r="F7" s="5">
        <f>B7*E7</f>
        <v>57484375000</v>
      </c>
      <c r="G7" s="22" t="s">
        <v>297</v>
      </c>
    </row>
    <row r="8" spans="1:7" ht="27.6">
      <c r="A8" s="7" t="s">
        <v>18</v>
      </c>
      <c r="B8" s="8">
        <f>ROUND(B7*Assumptions!C34,0)</f>
        <v>276</v>
      </c>
      <c r="C8" s="8">
        <f>B8*Assumptions!C40</f>
        <v>276</v>
      </c>
      <c r="D8" s="9">
        <f>Assumptions!C32*Assumptions!C34</f>
        <v>11722408.409999998</v>
      </c>
      <c r="E8" s="9">
        <f>Assumptions!C39</f>
        <v>62500</v>
      </c>
      <c r="F8" s="9">
        <f>B8*E8</f>
        <v>17250000</v>
      </c>
      <c r="G8" s="23" t="s">
        <v>298</v>
      </c>
    </row>
    <row r="11" spans="1:7" ht="15" customHeight="1">
      <c r="A11" s="30" t="s">
        <v>162</v>
      </c>
      <c r="B11" s="30"/>
      <c r="C11" s="30"/>
      <c r="D11" s="30"/>
      <c r="E11" s="30"/>
      <c r="F11" s="30"/>
      <c r="G11" s="30"/>
    </row>
    <row r="12" spans="1:7" ht="15" customHeight="1">
      <c r="A12" s="1" t="s">
        <v>163</v>
      </c>
      <c r="B12" s="1" t="s">
        <v>164</v>
      </c>
      <c r="C12" s="1" t="s">
        <v>165</v>
      </c>
      <c r="D12" s="1" t="s">
        <v>166</v>
      </c>
      <c r="E12" s="1" t="s">
        <v>167</v>
      </c>
      <c r="F12" s="1" t="s">
        <v>160</v>
      </c>
      <c r="G12" s="1" t="s">
        <v>35</v>
      </c>
    </row>
    <row r="13" spans="1:7" ht="26.4" customHeight="1">
      <c r="A13" s="4" t="s">
        <v>168</v>
      </c>
      <c r="B13" s="4" t="s">
        <v>169</v>
      </c>
      <c r="C13" s="6">
        <v>4610</v>
      </c>
      <c r="D13" s="5">
        <v>32.9</v>
      </c>
      <c r="E13" s="5">
        <v>68440</v>
      </c>
      <c r="F13" s="5">
        <f t="shared" ref="F13:F22" si="0">C13*E13</f>
        <v>315508400</v>
      </c>
      <c r="G13" s="4" t="s">
        <v>111</v>
      </c>
    </row>
    <row r="14" spans="1:7" ht="15" customHeight="1">
      <c r="A14" s="4" t="s">
        <v>170</v>
      </c>
      <c r="B14" s="4" t="s">
        <v>171</v>
      </c>
      <c r="C14" s="6">
        <v>70</v>
      </c>
      <c r="D14" s="5">
        <v>44.01</v>
      </c>
      <c r="E14" s="5">
        <v>91540</v>
      </c>
      <c r="F14" s="5">
        <f t="shared" si="0"/>
        <v>6407800</v>
      </c>
      <c r="G14" s="4" t="s">
        <v>111</v>
      </c>
    </row>
    <row r="15" spans="1:7" ht="26.4" customHeight="1">
      <c r="A15" s="4" t="s">
        <v>172</v>
      </c>
      <c r="B15" s="4" t="s">
        <v>173</v>
      </c>
      <c r="C15" s="6">
        <v>70</v>
      </c>
      <c r="D15" s="5">
        <v>18.309999999999999</v>
      </c>
      <c r="E15" s="5">
        <v>38080</v>
      </c>
      <c r="F15" s="5">
        <f t="shared" si="0"/>
        <v>2665600</v>
      </c>
      <c r="G15" s="4" t="s">
        <v>111</v>
      </c>
    </row>
    <row r="16" spans="1:7" ht="15" customHeight="1">
      <c r="A16" s="4" t="s">
        <v>174</v>
      </c>
      <c r="B16" s="4" t="s">
        <v>175</v>
      </c>
      <c r="C16" s="6">
        <v>7270</v>
      </c>
      <c r="D16" s="5">
        <v>23.07</v>
      </c>
      <c r="E16" s="5">
        <v>47980</v>
      </c>
      <c r="F16" s="5">
        <f t="shared" si="0"/>
        <v>348814600</v>
      </c>
      <c r="G16" s="4" t="s">
        <v>111</v>
      </c>
    </row>
    <row r="17" spans="1:7" ht="15" customHeight="1">
      <c r="A17" s="4" t="s">
        <v>176</v>
      </c>
      <c r="B17" s="4" t="s">
        <v>177</v>
      </c>
      <c r="C17" s="6">
        <v>25700</v>
      </c>
      <c r="D17" s="5">
        <v>23.87</v>
      </c>
      <c r="E17" s="5">
        <v>49640</v>
      </c>
      <c r="F17" s="5">
        <f t="shared" si="0"/>
        <v>1275748000</v>
      </c>
      <c r="G17" s="4" t="s">
        <v>111</v>
      </c>
    </row>
    <row r="18" spans="1:7" ht="26.4" customHeight="1">
      <c r="A18" s="4" t="s">
        <v>178</v>
      </c>
      <c r="B18" s="4" t="s">
        <v>179</v>
      </c>
      <c r="C18" s="6">
        <v>768900</v>
      </c>
      <c r="D18" s="5">
        <v>19.899999999999999</v>
      </c>
      <c r="E18" s="5">
        <v>41380</v>
      </c>
      <c r="F18" s="5">
        <f t="shared" si="0"/>
        <v>31817082000</v>
      </c>
      <c r="G18" s="4" t="s">
        <v>111</v>
      </c>
    </row>
    <row r="19" spans="1:7" ht="26.4" customHeight="1">
      <c r="A19" s="4" t="s">
        <v>180</v>
      </c>
      <c r="B19" s="4" t="s">
        <v>181</v>
      </c>
      <c r="C19" s="6">
        <v>58300</v>
      </c>
      <c r="D19" s="5">
        <v>22.32</v>
      </c>
      <c r="E19" s="5">
        <v>46430</v>
      </c>
      <c r="F19" s="5">
        <f t="shared" si="0"/>
        <v>2706869000</v>
      </c>
      <c r="G19" s="4" t="s">
        <v>111</v>
      </c>
    </row>
    <row r="20" spans="1:7" ht="26.4" customHeight="1">
      <c r="A20" s="4" t="s">
        <v>182</v>
      </c>
      <c r="B20" s="4" t="s">
        <v>183</v>
      </c>
      <c r="C20" s="6">
        <v>49340</v>
      </c>
      <c r="D20" s="5">
        <v>22.76</v>
      </c>
      <c r="E20" s="5">
        <v>47350</v>
      </c>
      <c r="F20" s="5">
        <f t="shared" si="0"/>
        <v>2336249000</v>
      </c>
      <c r="G20" s="4" t="s">
        <v>111</v>
      </c>
    </row>
    <row r="21" spans="1:7" ht="26.4" customHeight="1">
      <c r="A21" s="4" t="s">
        <v>184</v>
      </c>
      <c r="B21" s="4" t="s">
        <v>185</v>
      </c>
      <c r="C21" s="6">
        <v>4150</v>
      </c>
      <c r="D21" s="5">
        <v>23.26</v>
      </c>
      <c r="E21" s="5">
        <v>48370</v>
      </c>
      <c r="F21" s="5">
        <f t="shared" si="0"/>
        <v>200735500</v>
      </c>
      <c r="G21" s="4" t="s">
        <v>111</v>
      </c>
    </row>
    <row r="22" spans="1:7" ht="39.6" customHeight="1">
      <c r="A22" s="4" t="s">
        <v>186</v>
      </c>
      <c r="B22" s="4" t="s">
        <v>187</v>
      </c>
      <c r="C22" s="6">
        <v>1340</v>
      </c>
      <c r="D22" s="5">
        <v>23.18</v>
      </c>
      <c r="E22" s="5">
        <v>48220</v>
      </c>
      <c r="F22" s="5">
        <f t="shared" si="0"/>
        <v>64614800</v>
      </c>
      <c r="G22" s="4" t="s">
        <v>111</v>
      </c>
    </row>
    <row r="23" spans="1:7" ht="15" customHeight="1">
      <c r="A23" s="24" t="s">
        <v>188</v>
      </c>
      <c r="B23" s="24"/>
      <c r="C23" s="25">
        <f>SUM(C13:C22)</f>
        <v>919750</v>
      </c>
      <c r="D23" s="26"/>
      <c r="E23" s="26"/>
      <c r="F23" s="26">
        <f>SUM(F13:F22)</f>
        <v>39074694700</v>
      </c>
      <c r="G23" s="24" t="s">
        <v>111</v>
      </c>
    </row>
    <row r="26" spans="1:7" ht="15" customHeight="1">
      <c r="A26" s="30" t="s">
        <v>189</v>
      </c>
      <c r="B26" s="30"/>
      <c r="C26" s="30"/>
      <c r="D26" s="30"/>
      <c r="E26" s="30"/>
      <c r="F26" s="30"/>
      <c r="G26" s="30"/>
    </row>
    <row r="27" spans="1:7" ht="15" customHeight="1">
      <c r="A27" s="1" t="s">
        <v>190</v>
      </c>
      <c r="B27" s="1" t="s">
        <v>32</v>
      </c>
      <c r="C27" s="1" t="s">
        <v>33</v>
      </c>
      <c r="D27" s="40" t="s">
        <v>191</v>
      </c>
      <c r="E27" s="40"/>
      <c r="F27" s="40"/>
      <c r="G27" s="40"/>
    </row>
    <row r="28" spans="1:7" ht="27.6">
      <c r="A28" s="4" t="s">
        <v>192</v>
      </c>
      <c r="B28" s="6">
        <f>C23-C18</f>
        <v>150850</v>
      </c>
      <c r="C28" s="4" t="s">
        <v>101</v>
      </c>
      <c r="D28" s="37" t="s">
        <v>193</v>
      </c>
      <c r="E28" s="37"/>
      <c r="F28" s="37"/>
      <c r="G28" s="37"/>
    </row>
    <row r="29" spans="1:7">
      <c r="A29" s="4" t="s">
        <v>194</v>
      </c>
      <c r="B29" s="5">
        <f>F23-F18</f>
        <v>7257612700</v>
      </c>
      <c r="C29" s="4" t="s">
        <v>108</v>
      </c>
      <c r="D29" s="37" t="s">
        <v>195</v>
      </c>
      <c r="E29" s="37"/>
      <c r="F29" s="37"/>
      <c r="G29" s="37"/>
    </row>
    <row r="30" spans="1:7" ht="27.6">
      <c r="A30" s="4" t="s">
        <v>196</v>
      </c>
      <c r="B30" s="6">
        <f>C18</f>
        <v>768900</v>
      </c>
      <c r="C30" s="4" t="s">
        <v>101</v>
      </c>
      <c r="D30" s="37" t="s">
        <v>197</v>
      </c>
      <c r="E30" s="37"/>
      <c r="F30" s="37"/>
      <c r="G30" s="37"/>
    </row>
    <row r="31" spans="1:7" ht="15" customHeight="1">
      <c r="A31" s="4" t="s">
        <v>198</v>
      </c>
      <c r="B31" s="4" t="s">
        <v>199</v>
      </c>
      <c r="C31" s="4" t="s">
        <v>200</v>
      </c>
      <c r="D31" s="37" t="s">
        <v>201</v>
      </c>
      <c r="E31" s="37"/>
      <c r="F31" s="37"/>
      <c r="G31" s="37"/>
    </row>
  </sheetData>
  <mergeCells count="9">
    <mergeCell ref="D28:G28"/>
    <mergeCell ref="D29:G29"/>
    <mergeCell ref="D30:G30"/>
    <mergeCell ref="D31:G31"/>
    <mergeCell ref="A1:G1"/>
    <mergeCell ref="A2:G2"/>
    <mergeCell ref="A11:G11"/>
    <mergeCell ref="A26:G26"/>
    <mergeCell ref="D27:G27"/>
  </mergeCells>
  <phoneticPr fontId="6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16"/>
  <sheetViews>
    <sheetView tabSelected="1" workbookViewId="0">
      <selection activeCell="E20" sqref="E20"/>
    </sheetView>
  </sheetViews>
  <sheetFormatPr defaultRowHeight="13.8"/>
  <cols>
    <col min="1" max="1" width="34" customWidth="1"/>
    <col min="2" max="4" width="16" customWidth="1"/>
    <col min="5" max="6" width="12" customWidth="1"/>
    <col min="7" max="7" width="46" customWidth="1"/>
  </cols>
  <sheetData>
    <row r="1" spans="1:7" ht="25.2" customHeight="1">
      <c r="A1" s="31" t="s">
        <v>202</v>
      </c>
      <c r="B1" s="31"/>
      <c r="C1" s="31"/>
      <c r="D1" s="31"/>
      <c r="E1" s="31"/>
      <c r="F1" s="31"/>
      <c r="G1" s="31"/>
    </row>
    <row r="2" spans="1:7" ht="19.8" hidden="1" customHeight="1">
      <c r="A2" s="31"/>
      <c r="B2" s="31"/>
      <c r="C2" s="31"/>
      <c r="D2" s="31"/>
      <c r="E2" s="31"/>
      <c r="F2" s="31"/>
      <c r="G2" s="31"/>
    </row>
    <row r="3" spans="1:7" hidden="1">
      <c r="A3" s="31"/>
      <c r="B3" s="31"/>
      <c r="C3" s="31"/>
      <c r="D3" s="31"/>
      <c r="E3" s="31"/>
      <c r="F3" s="31"/>
      <c r="G3" s="31"/>
    </row>
    <row r="4" spans="1:7" hidden="1">
      <c r="A4" s="36"/>
      <c r="B4" s="36"/>
      <c r="C4" s="36"/>
      <c r="D4" s="36"/>
      <c r="E4" s="36"/>
      <c r="F4" s="36"/>
      <c r="G4" s="36"/>
    </row>
    <row r="5" spans="1:7" ht="28.05" customHeight="1">
      <c r="A5" s="1" t="s">
        <v>203</v>
      </c>
      <c r="B5" s="1" t="s">
        <v>204</v>
      </c>
      <c r="C5" s="1" t="s">
        <v>205</v>
      </c>
      <c r="D5" s="1" t="s">
        <v>206</v>
      </c>
      <c r="E5" s="1" t="s">
        <v>207</v>
      </c>
      <c r="F5" s="1" t="s">
        <v>208</v>
      </c>
      <c r="G5" s="1" t="s">
        <v>209</v>
      </c>
    </row>
    <row r="6" spans="1:7">
      <c r="A6" s="4" t="s">
        <v>210</v>
      </c>
      <c r="B6" s="28">
        <f>Fari!B6-Fari!B7</f>
        <v>7300</v>
      </c>
      <c r="C6" s="28">
        <v>0</v>
      </c>
      <c r="D6" s="28">
        <f t="shared" ref="D6:D12" si="0">B6-C6</f>
        <v>7300</v>
      </c>
      <c r="E6" s="28">
        <v>0</v>
      </c>
      <c r="F6" s="4" t="str">
        <f>IF(B6&gt;=0,"PASS","FAIL")</f>
        <v>PASS</v>
      </c>
      <c r="G6" s="4" t="s">
        <v>211</v>
      </c>
    </row>
    <row r="7" spans="1:7">
      <c r="A7" s="4" t="s">
        <v>212</v>
      </c>
      <c r="B7" s="28">
        <f>Fari!B7-Fari!B8</f>
        <v>7321</v>
      </c>
      <c r="C7" s="28">
        <v>0</v>
      </c>
      <c r="D7" s="28">
        <f t="shared" si="0"/>
        <v>7321</v>
      </c>
      <c r="E7" s="28">
        <v>0</v>
      </c>
      <c r="F7" s="4" t="str">
        <f>IF(B7&gt;=0,"PASS","FAIL")</f>
        <v>PASS</v>
      </c>
      <c r="G7" s="4" t="s">
        <v>213</v>
      </c>
    </row>
    <row r="8" spans="1:7" ht="27.6">
      <c r="A8" s="4" t="s">
        <v>214</v>
      </c>
      <c r="B8" s="28">
        <f>MIN(Senpai!B6-Senpai!B7,Senpai!B7-Senpai!B8)</f>
        <v>28077</v>
      </c>
      <c r="C8" s="28">
        <v>0</v>
      </c>
      <c r="D8" s="28">
        <f t="shared" si="0"/>
        <v>28077</v>
      </c>
      <c r="E8" s="28">
        <v>0</v>
      </c>
      <c r="F8" s="4" t="str">
        <f>IF(B8&gt;=0,"PASS","FAIL")</f>
        <v>PASS</v>
      </c>
      <c r="G8" s="4" t="s">
        <v>215</v>
      </c>
    </row>
    <row r="9" spans="1:7" ht="27.6">
      <c r="A9" s="4" t="s">
        <v>216</v>
      </c>
      <c r="B9" s="28">
        <f>SUM(Assumptions!C16,Assumptions!C25,Assumptions!C26)</f>
        <v>101110</v>
      </c>
      <c r="C9" s="28">
        <f>Assumptions!C24</f>
        <v>101110</v>
      </c>
      <c r="D9" s="28">
        <f>B9-C9</f>
        <v>0</v>
      </c>
      <c r="E9" s="28">
        <v>0</v>
      </c>
      <c r="F9" s="4" t="str">
        <f>IF(ABS(D9)&lt;=E9,"PASS","FAIL")</f>
        <v>PASS</v>
      </c>
      <c r="G9" s="4" t="s">
        <v>217</v>
      </c>
    </row>
    <row r="10" spans="1:7" ht="27.6">
      <c r="A10" s="4" t="s">
        <v>218</v>
      </c>
      <c r="B10" s="28">
        <f>Sentinel!C23</f>
        <v>919750</v>
      </c>
      <c r="C10" s="28">
        <f>Assumptions!C31</f>
        <v>919750</v>
      </c>
      <c r="D10" s="28">
        <f>B10-C10</f>
        <v>0</v>
      </c>
      <c r="E10" s="28">
        <v>0</v>
      </c>
      <c r="F10" s="4" t="str">
        <f>IF(ABS(D10)&lt;=E10,"PASS","FAIL")</f>
        <v>PASS</v>
      </c>
      <c r="G10" s="4" t="s">
        <v>219</v>
      </c>
    </row>
    <row r="11" spans="1:7">
      <c r="A11" s="4" t="s">
        <v>220</v>
      </c>
      <c r="B11" s="28">
        <f>Assumptions!C13</f>
        <v>15000</v>
      </c>
      <c r="C11" s="28">
        <f>AVERAGE(Assumptions!C14:'Assumptions'!C15)</f>
        <v>15000</v>
      </c>
      <c r="D11" s="28">
        <f>B11-C11</f>
        <v>0</v>
      </c>
      <c r="E11" s="28">
        <v>0</v>
      </c>
      <c r="F11" s="4" t="str">
        <f>IF(ABS(D11)&lt;=E11,"PASS","FAIL")</f>
        <v>PASS</v>
      </c>
      <c r="G11" s="4" t="s">
        <v>221</v>
      </c>
    </row>
    <row r="12" spans="1:7" ht="41.4">
      <c r="A12" s="4" t="s">
        <v>222</v>
      </c>
      <c r="B12" s="29">
        <f>(Sentinel!B8/3)/Assumptions!C38</f>
        <v>3.9215686274509803E-2</v>
      </c>
      <c r="C12" s="29">
        <v>0.05</v>
      </c>
      <c r="D12" s="29">
        <f t="shared" si="0"/>
        <v>-1.0784313725490199E-2</v>
      </c>
      <c r="E12" s="28">
        <v>0</v>
      </c>
      <c r="F12" s="4" t="str">
        <f>IF(B12&lt;=C12,"PASS","FAIL")</f>
        <v>PASS</v>
      </c>
      <c r="G12" s="4" t="s">
        <v>223</v>
      </c>
    </row>
    <row r="15" spans="1:7" ht="15" customHeight="1">
      <c r="A15" s="27"/>
      <c r="B15" s="3"/>
      <c r="C15" s="3"/>
      <c r="D15" s="3"/>
      <c r="E15" s="3"/>
      <c r="F15" s="3"/>
      <c r="G15" s="3"/>
    </row>
    <row r="16" spans="1:7" ht="15" customHeight="1">
      <c r="A16" s="41" t="s">
        <v>292</v>
      </c>
      <c r="B16" s="41"/>
      <c r="C16" s="41"/>
      <c r="D16" s="41"/>
      <c r="E16" s="41"/>
      <c r="F16" s="41" t="str">
        <f>IF(COUNTIF(F6:F12,"FAIL")=0,"PASS","FAIL")</f>
        <v>PASS</v>
      </c>
      <c r="G16" s="41"/>
    </row>
  </sheetData>
  <mergeCells count="3">
    <mergeCell ref="A16:E16"/>
    <mergeCell ref="F16:G16"/>
    <mergeCell ref="A1:G4"/>
  </mergeCells>
  <phoneticPr fontId="6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6"/>
  <sheetViews>
    <sheetView workbookViewId="0">
      <selection activeCell="G5" sqref="A5:G5"/>
    </sheetView>
  </sheetViews>
  <sheetFormatPr defaultRowHeight="13.8"/>
  <cols>
    <col min="1" max="1" width="10" customWidth="1"/>
    <col min="2" max="2" width="29" customWidth="1"/>
    <col min="3" max="3" width="20" customWidth="1"/>
    <col min="4" max="4" width="13" customWidth="1"/>
    <col min="5" max="5" width="26" customWidth="1"/>
    <col min="6" max="6" width="58" customWidth="1"/>
    <col min="7" max="7" width="44" customWidth="1"/>
  </cols>
  <sheetData>
    <row r="1" spans="1:7" ht="27" customHeight="1">
      <c r="A1" s="42" t="s">
        <v>300</v>
      </c>
      <c r="B1" s="42"/>
      <c r="C1" s="42"/>
      <c r="D1" s="42"/>
      <c r="E1" s="42"/>
      <c r="F1" s="42"/>
      <c r="G1" s="42"/>
    </row>
    <row r="2" spans="1:7" ht="19.95" customHeight="1">
      <c r="A2" s="42"/>
      <c r="B2" s="42"/>
      <c r="C2" s="42"/>
      <c r="D2" s="42"/>
      <c r="E2" s="42"/>
      <c r="F2" s="42"/>
      <c r="G2" s="42"/>
    </row>
    <row r="3" spans="1:7">
      <c r="A3" s="42"/>
      <c r="B3" s="42"/>
      <c r="C3" s="42"/>
      <c r="D3" s="42"/>
      <c r="E3" s="42"/>
      <c r="F3" s="42"/>
      <c r="G3" s="42"/>
    </row>
    <row r="4" spans="1:7">
      <c r="A4" s="43"/>
      <c r="B4" s="43"/>
      <c r="C4" s="43"/>
      <c r="D4" s="43"/>
      <c r="E4" s="43"/>
      <c r="F4" s="43"/>
      <c r="G4" s="43"/>
    </row>
    <row r="5" spans="1:7" ht="28.05" customHeight="1">
      <c r="A5" s="1" t="s">
        <v>35</v>
      </c>
      <c r="B5" s="1" t="s">
        <v>224</v>
      </c>
      <c r="C5" s="1" t="s">
        <v>225</v>
      </c>
      <c r="D5" s="1" t="s">
        <v>226</v>
      </c>
      <c r="E5" s="1" t="s">
        <v>227</v>
      </c>
      <c r="F5" s="1" t="s">
        <v>228</v>
      </c>
      <c r="G5" s="1" t="s">
        <v>209</v>
      </c>
    </row>
    <row r="6" spans="1:7" ht="27.6">
      <c r="A6" s="4" t="s">
        <v>40</v>
      </c>
      <c r="B6" s="4" t="s">
        <v>229</v>
      </c>
      <c r="C6" s="4" t="s">
        <v>230</v>
      </c>
      <c r="D6" s="4" t="s">
        <v>231</v>
      </c>
      <c r="E6" s="4" t="s">
        <v>232</v>
      </c>
      <c r="F6" s="4" t="s">
        <v>233</v>
      </c>
      <c r="G6" s="4" t="s">
        <v>301</v>
      </c>
    </row>
    <row r="7" spans="1:7" ht="27.6">
      <c r="A7" s="4" t="s">
        <v>91</v>
      </c>
      <c r="B7" s="4" t="s">
        <v>234</v>
      </c>
      <c r="C7" s="4" t="s">
        <v>235</v>
      </c>
      <c r="D7" s="4" t="s">
        <v>236</v>
      </c>
      <c r="E7" s="4" t="s">
        <v>237</v>
      </c>
      <c r="F7" s="4" t="s">
        <v>238</v>
      </c>
      <c r="G7" s="4" t="s">
        <v>302</v>
      </c>
    </row>
    <row r="8" spans="1:7" ht="27.6">
      <c r="A8" s="4" t="s">
        <v>73</v>
      </c>
      <c r="B8" s="4" t="s">
        <v>239</v>
      </c>
      <c r="C8" s="4" t="s">
        <v>240</v>
      </c>
      <c r="D8" s="4" t="s">
        <v>241</v>
      </c>
      <c r="E8" s="4" t="s">
        <v>242</v>
      </c>
      <c r="F8" s="4" t="s">
        <v>238</v>
      </c>
      <c r="G8" s="4" t="s">
        <v>303</v>
      </c>
    </row>
    <row r="9" spans="1:7" ht="41.4">
      <c r="A9" s="4" t="s">
        <v>85</v>
      </c>
      <c r="B9" s="4" t="s">
        <v>243</v>
      </c>
      <c r="C9" s="4" t="s">
        <v>244</v>
      </c>
      <c r="D9" s="4" t="s">
        <v>245</v>
      </c>
      <c r="E9" s="4" t="s">
        <v>246</v>
      </c>
      <c r="F9" s="4" t="s">
        <v>247</v>
      </c>
      <c r="G9" s="4"/>
    </row>
    <row r="10" spans="1:7" ht="27.6">
      <c r="A10" s="4" t="s">
        <v>102</v>
      </c>
      <c r="B10" s="4" t="s">
        <v>248</v>
      </c>
      <c r="C10" s="4" t="s">
        <v>249</v>
      </c>
      <c r="D10" s="4" t="s">
        <v>250</v>
      </c>
      <c r="E10" s="4" t="s">
        <v>251</v>
      </c>
      <c r="F10" s="4" t="s">
        <v>252</v>
      </c>
      <c r="G10" s="4"/>
    </row>
    <row r="11" spans="1:7" ht="41.4">
      <c r="A11" s="4" t="s">
        <v>111</v>
      </c>
      <c r="B11" s="4" t="s">
        <v>253</v>
      </c>
      <c r="C11" s="4" t="s">
        <v>254</v>
      </c>
      <c r="D11" s="4" t="s">
        <v>250</v>
      </c>
      <c r="E11" s="4" t="s">
        <v>255</v>
      </c>
      <c r="F11" s="4" t="s">
        <v>252</v>
      </c>
      <c r="G11" s="4" t="s">
        <v>304</v>
      </c>
    </row>
    <row r="12" spans="1:7" ht="27.6">
      <c r="A12" s="4" t="s">
        <v>256</v>
      </c>
      <c r="B12" s="4" t="s">
        <v>257</v>
      </c>
      <c r="C12" s="4" t="s">
        <v>258</v>
      </c>
      <c r="D12" s="4" t="s">
        <v>259</v>
      </c>
      <c r="E12" s="4" t="s">
        <v>260</v>
      </c>
      <c r="F12" s="4" t="s">
        <v>261</v>
      </c>
      <c r="G12" s="4" t="s">
        <v>305</v>
      </c>
    </row>
    <row r="13" spans="1:7" ht="27.6">
      <c r="A13" s="4" t="s">
        <v>62</v>
      </c>
      <c r="B13" s="4" t="s">
        <v>262</v>
      </c>
      <c r="C13" s="4" t="s">
        <v>263</v>
      </c>
      <c r="D13" s="4" t="s">
        <v>264</v>
      </c>
      <c r="E13" s="4" t="s">
        <v>265</v>
      </c>
      <c r="F13" s="4" t="s">
        <v>266</v>
      </c>
      <c r="G13" s="4"/>
    </row>
    <row r="14" spans="1:7" ht="55.2">
      <c r="A14" s="4" t="s">
        <v>123</v>
      </c>
      <c r="B14" s="4" t="s">
        <v>267</v>
      </c>
      <c r="C14" s="4" t="s">
        <v>268</v>
      </c>
      <c r="D14" s="4" t="s">
        <v>269</v>
      </c>
      <c r="E14" s="4" t="s">
        <v>270</v>
      </c>
      <c r="F14" s="4" t="s">
        <v>271</v>
      </c>
      <c r="G14" s="4" t="s">
        <v>306</v>
      </c>
    </row>
    <row r="15" spans="1:7" ht="27.6">
      <c r="A15" s="4" t="s">
        <v>272</v>
      </c>
      <c r="B15" s="4" t="s">
        <v>273</v>
      </c>
      <c r="C15" s="4" t="s">
        <v>274</v>
      </c>
      <c r="D15" s="4" t="s">
        <v>275</v>
      </c>
      <c r="E15" s="4" t="s">
        <v>276</v>
      </c>
      <c r="F15" s="4" t="s">
        <v>277</v>
      </c>
      <c r="G15" s="4"/>
    </row>
    <row r="16" spans="1:7" ht="27.6">
      <c r="A16" s="4" t="s">
        <v>57</v>
      </c>
      <c r="B16" s="4" t="s">
        <v>278</v>
      </c>
      <c r="C16" s="4" t="s">
        <v>279</v>
      </c>
      <c r="D16" s="4" t="s">
        <v>280</v>
      </c>
      <c r="E16" s="4" t="s">
        <v>281</v>
      </c>
      <c r="F16" s="4"/>
      <c r="G16" s="4" t="s">
        <v>307</v>
      </c>
    </row>
  </sheetData>
  <mergeCells count="1">
    <mergeCell ref="A1:G4"/>
  </mergeCells>
  <phoneticPr fontId="6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Overview</vt:lpstr>
      <vt:lpstr>Assumptions</vt:lpstr>
      <vt:lpstr>Fari</vt:lpstr>
      <vt:lpstr>Senpai</vt:lpstr>
      <vt:lpstr>Sentinel</vt:lpstr>
      <vt:lpstr>Checks</vt:lpstr>
      <vt:lpstr>Sources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2026-07-28T00:48:05Z</dcterms:modified>
</cp:coreProperties>
</file>
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新建文件夹\V2\"/>
    </mc:Choice>
  </mc:AlternateContent>
  <xr:revisionPtr revIDLastSave="0" documentId="13_ncr:1_{D83BA52B-D3D6-4939-8BCF-EF970303C13C}" xr6:coauthVersionLast="47" xr6:coauthVersionMax="47" xr10:uidLastSave="{00000000-0000-0000-0000-000000000000}"/>
  <bookViews>
    <workbookView xWindow="-108" yWindow="-108" windowWidth="30936" windowHeight="16776" tabRatio="500" activeTab="3" xr2:uid="{00000000-000D-0000-FFFF-FFFF00000000}"/>
  </bookViews>
  <sheets>
    <sheet name="KPI Dashboard" sheetId="1" r:id="rId1"/>
    <sheet name="Target Inputs" sheetId="2" r:id="rId2"/>
    <sheet name="Checks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3" l="1"/>
  <c r="D12" i="3" s="1"/>
  <c r="F12" i="3" s="1"/>
  <c r="B11" i="3"/>
  <c r="D11" i="3" s="1"/>
  <c r="F11" i="3" s="1"/>
  <c r="B9" i="3"/>
  <c r="D9" i="3" s="1"/>
  <c r="F9" i="3" s="1"/>
  <c r="B8" i="3"/>
  <c r="D8" i="3" s="1"/>
  <c r="F8" i="3" s="1"/>
  <c r="B7" i="3"/>
  <c r="D7" i="3" s="1"/>
  <c r="F7" i="3" s="1"/>
  <c r="B6" i="3"/>
  <c r="D6" i="3" s="1"/>
  <c r="F6" i="3" s="1"/>
  <c r="C26" i="2"/>
  <c r="C25" i="2"/>
  <c r="F20" i="1" s="1"/>
  <c r="C24" i="2"/>
  <c r="F18" i="1" s="1"/>
  <c r="C23" i="2"/>
  <c r="C22" i="2"/>
  <c r="C14" i="2"/>
  <c r="F15" i="1" s="1"/>
  <c r="C13" i="2"/>
  <c r="C10" i="2"/>
  <c r="C9" i="2"/>
  <c r="F19" i="1"/>
  <c r="F17" i="1"/>
  <c r="F16" i="1"/>
  <c r="F11" i="1"/>
  <c r="F10" i="1"/>
  <c r="F6" i="1"/>
  <c r="B10" i="3" l="1"/>
  <c r="D10" i="3" s="1"/>
  <c r="F10" i="3" s="1"/>
  <c r="F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W03_TAM_SAM_SOM_Model.xlsx | Fari base SOM: 74 facilities.</t>
        </r>
      </text>
    </comment>
    <comment ref="C1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W03_TAM_SAM_SOM_Model.xlsx | Senpai base SOM: 141 schools.</t>
        </r>
      </text>
    </comment>
    <comment ref="C15" authorId="0" shapeId="0" xr:uid="{00000000-0006-0000-01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W03_TAM_SAM_SOM_Model.xlsx | Sentinel base SOM: 276 deployments.</t>
        </r>
      </text>
    </comment>
    <comment ref="C16" authorId="0" shapeId="0" xr:uid="{00000000-0006-0000-01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W03_TCO_Analysis.xlsx | 2% downtime backup assumption.</t>
        </r>
      </text>
    </comment>
    <comment ref="C19" authorId="0" shapeId="0" xr:uid="{00000000-0006-0000-01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W03_TCO_Analysis.xlsx | Five-year Sentinel TCO.</t>
        </r>
      </text>
    </comment>
  </commentList>
</comments>
</file>

<file path=xl/sharedStrings.xml><?xml version="1.0" encoding="utf-8"?>
<sst xmlns="http://schemas.openxmlformats.org/spreadsheetml/2006/main" count="337" uniqueCount="206">
  <si>
    <t>W04 KPI Framework — Fari, Senpai, and Sentinel Prime AI</t>
  </si>
  <si>
    <t>Three-platform KPI tracking framework</t>
  </si>
  <si>
    <t>Platform</t>
  </si>
  <si>
    <t>KPI area</t>
  </si>
  <si>
    <t>KPI</t>
  </si>
  <si>
    <t>Formula</t>
  </si>
  <si>
    <t>Public data / proxy</t>
  </si>
  <si>
    <t>Target range</t>
  </si>
  <si>
    <t>Reporting frequency</t>
  </si>
  <si>
    <t>TCO / business link</t>
  </si>
  <si>
    <t>Fari</t>
  </si>
  <si>
    <t>Deployment &amp; adoption</t>
  </si>
  <si>
    <t>Active paid facilities</t>
  </si>
  <si>
    <t>Count of facilities with live deployment and paid status at period end</t>
  </si>
  <si>
    <t>InGen CRM and signed facility contracts; CMS facility counts for market context</t>
  </si>
  <si>
    <t>Quarterly</t>
  </si>
  <si>
    <t>Tracks progress toward the W03 SOM</t>
  </si>
  <si>
    <t>Operational performance</t>
  </si>
  <si>
    <t>Resident-session completion rate</t>
  </si>
  <si>
    <t>Completed resident sessions / scheduled resident sessions</t>
  </si>
  <si>
    <t>Device event logs and pilot schedules</t>
  </si>
  <si>
    <t>At least 90% after pilot stabilization</t>
  </si>
  <si>
    <t>Monthly</t>
  </si>
  <si>
    <t>Confirms that paid capacity is actually used</t>
  </si>
  <si>
    <t>Energy efficiency</t>
  </si>
  <si>
    <t>kWh per completed resident session</t>
  </si>
  <si>
    <t>Metered charging kWh / completed resident sessions</t>
  </si>
  <si>
    <t>Smart-plug readings or onboard battery logs</t>
  </si>
  <si>
    <t>At or below the energy-per-session baseline from smart-plug and session logs in pilot Days 1–30; freeze after Day 30</t>
  </si>
  <si>
    <t>Tracks energy cost per unit of use</t>
  </si>
  <si>
    <t>Customer economics</t>
  </si>
  <si>
    <t>Cost per completed resident session</t>
  </si>
  <si>
    <t>(Annualized robot TCO + human support cost) / completed resident sessions</t>
  </si>
  <si>
    <t>Customer invoices, power use, support time, and current staff cost</t>
  </si>
  <si>
    <t>At or below the staff-assisted baseline from customer cost and support-time records in pilot Days 1–30; freeze after Day 30</t>
  </si>
  <si>
    <t>Direct customer unit-cost comparison</t>
  </si>
  <si>
    <t>Business health</t>
  </si>
  <si>
    <t>Revenue per active facility</t>
  </si>
  <si>
    <t>Annualized recognized revenue / average active paid facilities</t>
  </si>
  <si>
    <t>Billing records and CRM deployment status</t>
  </si>
  <si>
    <t>Uses the W03 modeled value per facility</t>
  </si>
  <si>
    <t>Senpai</t>
  </si>
  <si>
    <t>Active paid schools</t>
  </si>
  <si>
    <t>Count of schools with live deployment and paid status at period end</t>
  </si>
  <si>
    <t>InGen CRM and school contracts; NCES school counts for market context</t>
  </si>
  <si>
    <t>Student-session completion rate</t>
  </si>
  <si>
    <t>Completed student sessions / scheduled student sessions</t>
  </si>
  <si>
    <t>Device event logs and school schedules</t>
  </si>
  <si>
    <t>Confirms that planned sessions are delivered</t>
  </si>
  <si>
    <t>kWh per completed student session</t>
  </si>
  <si>
    <t>Metered charging kWh / completed student sessions</t>
  </si>
  <si>
    <t>Cost per completed student session</t>
  </si>
  <si>
    <t>(Annualized robot TCO + staff support cost) / completed student sessions</t>
  </si>
  <si>
    <t>School invoices, power use, support time, and current staff cost</t>
  </si>
  <si>
    <t>At or below the staff-supported baseline from school cost and support-time records in pilot Days 1–30; freeze after Day 30</t>
  </si>
  <si>
    <t>Revenue per active school</t>
  </si>
  <si>
    <t>Annualized recognized revenue / average active paid schools</t>
  </si>
  <si>
    <t>Uses the W03 modeled value per school</t>
  </si>
  <si>
    <t>Sentinel Prime AI</t>
  </si>
  <si>
    <t>Active paid deployments</t>
  </si>
  <si>
    <t>Count of live paid deployments at period end</t>
  </si>
  <si>
    <t>InGen CRM and customer contracts; BLS security employment for market context</t>
  </si>
  <si>
    <t>Monitoring availability</t>
  </si>
  <si>
    <t>Available monitored hours / scheduled monitored hours</t>
  </si>
  <si>
    <t>Platform uptime and downtime logs</t>
  </si>
  <si>
    <t>Matches the 2% downtime-backup assumption</t>
  </si>
  <si>
    <t>kWh per monitored hour</t>
  </si>
  <si>
    <t>Metered electricity use / monitored hours</t>
  </si>
  <si>
    <t>Site meter or device telemetry</t>
  </si>
  <si>
    <t>Uses the W03 3 kWh/day assumption</t>
  </si>
  <si>
    <t>Five-year cost per monitored hour</t>
  </si>
  <si>
    <t>Five-year Sentinel TCO / five-year monitored hours</t>
  </si>
  <si>
    <t>TCO workbook, invoices, telemetry, and customer labor cost</t>
  </si>
  <si>
    <t>Compares directly with human-security cost per hour</t>
  </si>
  <si>
    <t>Recurring revenue per active deployment</t>
  </si>
  <si>
    <t>Annualized recurring revenue / average active paid deployments</t>
  </si>
  <si>
    <t>Uses the W03 software / monitoring value</t>
  </si>
  <si>
    <t>W04 KPI Framework — Target Inputs</t>
  </si>
  <si>
    <t>Input</t>
  </si>
  <si>
    <t>Value</t>
  </si>
  <si>
    <t>Unit</t>
  </si>
  <si>
    <t>Type</t>
  </si>
  <si>
    <t>Source ID</t>
  </si>
  <si>
    <t>Note</t>
  </si>
  <si>
    <t>All</t>
  </si>
  <si>
    <t>Planning band around modeled unit value</t>
  </si>
  <si>
    <t>%</t>
  </si>
  <si>
    <t>Analyst estimate</t>
  </si>
  <si>
    <t>—</t>
  </si>
  <si>
    <t>Used for revenue-per-unit target ranges</t>
  </si>
  <si>
    <t>Year 3 SOM</t>
  </si>
  <si>
    <t>facilities</t>
  </si>
  <si>
    <t>W03 output</t>
  </si>
  <si>
    <t>S01</t>
  </si>
  <si>
    <t>W03 base case</t>
  </si>
  <si>
    <t>Modeled value per facility</t>
  </si>
  <si>
    <t>USD/facility-year</t>
  </si>
  <si>
    <t>W03 input</t>
  </si>
  <si>
    <t>W03 value-per-unit assumption</t>
  </si>
  <si>
    <t>Lower revenue-per-facility target</t>
  </si>
  <si>
    <t>Modeled value less 10%</t>
  </si>
  <si>
    <t>Upper revenue-per-facility target</t>
  </si>
  <si>
    <t>Modeled value plus 10%</t>
  </si>
  <si>
    <t>schools</t>
  </si>
  <si>
    <t>Modeled value per school</t>
  </si>
  <si>
    <t>USD/school-year</t>
  </si>
  <si>
    <t>Lower revenue-per-school target</t>
  </si>
  <si>
    <t>Upper revenue-per-school target</t>
  </si>
  <si>
    <t>Year 3 SOM — Base</t>
  </si>
  <si>
    <t>deployments</t>
  </si>
  <si>
    <t>W03 0.03% base case</t>
  </si>
  <si>
    <t>Downtime backup rate</t>
  </si>
  <si>
    <t>% scheduled hours</t>
  </si>
  <si>
    <t>S02</t>
  </si>
  <si>
    <t>Availability target equals 1 minus downtime rate</t>
  </si>
  <si>
    <t>Daily electricity use</t>
  </si>
  <si>
    <t>kWh/day</t>
  </si>
  <si>
    <t>Monitoring coverage</t>
  </si>
  <si>
    <t>hours/day</t>
  </si>
  <si>
    <t>Continuous monitoring post</t>
  </si>
  <si>
    <t>Five-year Sentinel TCO</t>
  </si>
  <si>
    <t>USD</t>
  </si>
  <si>
    <t>Five-year human-security TCO</t>
  </si>
  <si>
    <t>Annual software / monitoring</t>
  </si>
  <si>
    <t>USD/deployment-year</t>
  </si>
  <si>
    <t>Recurring revenue proxy</t>
  </si>
  <si>
    <t>USD/hour</t>
  </si>
  <si>
    <t>Sentinel TCO divided by five-year monitored hours</t>
  </si>
  <si>
    <t>Human cost per monitored hour</t>
  </si>
  <si>
    <t>Human-security TCO divided by five-year monitored hours</t>
  </si>
  <si>
    <t>Energy per monitored hour</t>
  </si>
  <si>
    <t>kWh/hour</t>
  </si>
  <si>
    <t>Daily electricity divided by monitored hours</t>
  </si>
  <si>
    <t>Lower recurring-revenue target</t>
  </si>
  <si>
    <t>Annual software / monitoring less 10%</t>
  </si>
  <si>
    <t>Upper recurring-revenue target</t>
  </si>
  <si>
    <t>Annual software / monitoring plus 10%</t>
  </si>
  <si>
    <t>Year 3 SOM — Low</t>
  </si>
  <si>
    <t>W03 scenario</t>
  </si>
  <si>
    <t>W03 0.02% low case</t>
  </si>
  <si>
    <t>Year 3 SOM — High</t>
  </si>
  <si>
    <t>W03 0.10% high case</t>
  </si>
  <si>
    <t>W04 KPI Framework — Checks</t>
  </si>
  <si>
    <t>Check</t>
  </si>
  <si>
    <t>Actual</t>
  </si>
  <si>
    <t>Expected</t>
  </si>
  <si>
    <t>Difference</t>
  </si>
  <si>
    <t>Tolerance</t>
  </si>
  <si>
    <t>Status</t>
  </si>
  <si>
    <t>Notes</t>
  </si>
  <si>
    <t>Total KPI count</t>
  </si>
  <si>
    <t>Three platforms × five KPIs.</t>
  </si>
  <si>
    <t>Fari KPI count</t>
  </si>
  <si>
    <t>Fari has five KPI rows.</t>
  </si>
  <si>
    <t>Senpai KPI count</t>
  </si>
  <si>
    <t>Senpai has five KPI rows.</t>
  </si>
  <si>
    <t>Sentinel Prime AI KPI count</t>
  </si>
  <si>
    <t>Sentinel has five KPI rows.</t>
  </si>
  <si>
    <t>Required KPI fields completed</t>
  </si>
  <si>
    <t>Platform, area, KPI, formula, proxy, target, frequency, and link are populated.</t>
  </si>
  <si>
    <t>Five KPI areas used for each platform</t>
  </si>
  <si>
    <t>Each platform covers deployment, operations, energy, customer economics, and business health.</t>
  </si>
  <si>
    <t>Target-input types completed</t>
  </si>
  <si>
    <t>Every Target Inputs row has a Type classification.</t>
  </si>
  <si>
    <t>MODEL STATUS</t>
  </si>
  <si>
    <t>W04 KPI Framework — Sources</t>
  </si>
  <si>
    <t>Use</t>
  </si>
  <si>
    <t>Value / Measure</t>
  </si>
  <si>
    <t>Period</t>
  </si>
  <si>
    <t>Source</t>
  </si>
  <si>
    <t>URL</t>
  </si>
  <si>
    <t>SOM and modeled value-per-unit targets</t>
  </si>
  <si>
    <t>Fari 74 / $15,000; Senpai 141 / $16,990; Sentinel 184–920 (base 276)</t>
  </si>
  <si>
    <t>Week 3</t>
  </si>
  <si>
    <t>W03_TAM_SAM_SOM_Model.xlsx</t>
  </si>
  <si>
    <t>Provides Fari and Senpai base targets plus the Sentinel low, base, and high deployment cases.</t>
  </si>
  <si>
    <t>Sentinel operating and customer-economics targets</t>
  </si>
  <si>
    <t>2% downtime; 3 kWh/day; $509,447 five-year TCO</t>
  </si>
  <si>
    <t>W03_TCO_Analysis.xlsx</t>
  </si>
  <si>
    <t>Provides availability, energy, cost-per-hour, and recurring software inputs.</t>
  </si>
  <si>
    <t>S03</t>
  </si>
  <si>
    <t>Fari market context</t>
  </si>
  <si>
    <t>CMS-certified nursing facilities</t>
  </si>
  <si>
    <t>Current data page</t>
  </si>
  <si>
    <t>CMS Provider Data — Nursing Homes</t>
  </si>
  <si>
    <t>https://data.cms.gov/provider-data/topics/nursing-homes</t>
  </si>
  <si>
    <t>Public market proxy; operating KPIs require pilot logs.</t>
  </si>
  <si>
    <t>S04</t>
  </si>
  <si>
    <t>Senpai market context</t>
  </si>
  <si>
    <t>Public schools and enrollment</t>
  </si>
  <si>
    <t>NCES Common Core of Data</t>
  </si>
  <si>
    <t>https://nces.ed.gov/ccd/files.asp</t>
  </si>
  <si>
    <t>Public market proxy; operating KPIs require school and device logs.</t>
  </si>
  <si>
    <t>S05</t>
  </si>
  <si>
    <t>Sentinel market and labor context</t>
  </si>
  <si>
    <t>Security guard employment and wages</t>
  </si>
  <si>
    <t>May 2025</t>
  </si>
  <si>
    <t>BLS OEWS National</t>
  </si>
  <si>
    <t>https://www.bls.gov/oes/tables.htm</t>
  </si>
  <si>
    <t>Public labor proxy for customer-economics comparisons.</t>
  </si>
  <si>
    <t>S06</t>
  </si>
  <si>
    <t>Required KPI categories and fields</t>
  </si>
  <si>
    <t>Three platforms × five KPIs</t>
  </si>
  <si>
    <t>Week 4</t>
  </si>
  <si>
    <t>Internship plan</t>
  </si>
  <si>
    <t>Defines the KPI framework scope, formulas, targets, proxies, and frequency.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</si>
</sst>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\$#,##0;&quot;($&quot;#,##0\);\-"/>
    <numFmt numFmtId="178" formatCode="\$0.00;&quot;($&quot;0.00\);\-"/>
    <numFmt numFmtId="179" formatCode="0.000"/>
    <numFmt numFmtId="180" formatCode="#,##0;\(#,##0\);\-"/>
  </numFmts>
  <fonts count="6" x14ac:knownFonts="1">
    <font>
      <sz val="10"/>
      <name val="Arial"/>
      <family val="2"/>
    </font>
    <font>
      <sz val="11"/>
      <name val="Calibri"/>
      <charset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vertical="center" wrapText="1"/>
    </xf>
    <xf numFmtId="0" fontId="4" fillId="0" borderId="0" xfId="1" applyFont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177" fontId="3" fillId="2" borderId="1" xfId="1" applyNumberFormat="1" applyFont="1" applyFill="1" applyBorder="1" applyAlignment="1">
      <alignment horizontal="center" vertical="center" wrapText="1"/>
    </xf>
    <xf numFmtId="177" fontId="3" fillId="0" borderId="1" xfId="1" applyNumberFormat="1" applyFont="1" applyBorder="1" applyAlignment="1">
      <alignment horizontal="center" vertical="center" wrapText="1"/>
    </xf>
    <xf numFmtId="178" fontId="3" fillId="0" borderId="1" xfId="1" applyNumberFormat="1" applyFont="1" applyBorder="1" applyAlignment="1">
      <alignment horizontal="center" vertical="center" wrapText="1"/>
    </xf>
    <xf numFmtId="179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1" xr:uid="{00000000-0005-0000-0000-000006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Normal="100" workbookViewId="0">
      <selection activeCell="F26" sqref="F26"/>
    </sheetView>
  </sheetViews>
  <sheetFormatPr defaultColWidth="8.6640625" defaultRowHeight="13.2" x14ac:dyDescent="0.25"/>
  <cols>
    <col min="1" max="1" width="22" customWidth="1"/>
    <col min="2" max="2" width="23" customWidth="1"/>
    <col min="3" max="3" width="32" customWidth="1"/>
    <col min="4" max="4" width="49" customWidth="1"/>
    <col min="5" max="5" width="54" customWidth="1"/>
    <col min="6" max="6" width="48" customWidth="1"/>
    <col min="7" max="7" width="20" customWidth="1"/>
    <col min="8" max="8" width="39" customWidth="1"/>
  </cols>
  <sheetData>
    <row r="1" spans="1:8" ht="13.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5" customHeight="1" x14ac:dyDescent="0.25">
      <c r="A2" s="2"/>
      <c r="B2" s="2"/>
      <c r="C2" s="2"/>
      <c r="D2" s="2"/>
      <c r="E2" s="2"/>
      <c r="F2" s="2"/>
      <c r="G2" s="2"/>
      <c r="H2" s="2"/>
    </row>
    <row r="3" spans="1:8" ht="13.8" x14ac:dyDescent="0.25">
      <c r="A3" s="3"/>
      <c r="B3" s="3"/>
      <c r="C3" s="3"/>
      <c r="D3" s="3"/>
      <c r="E3" s="3"/>
      <c r="F3" s="3"/>
      <c r="G3" s="3"/>
      <c r="H3" s="3"/>
    </row>
    <row r="4" spans="1:8" ht="13.8" x14ac:dyDescent="0.25">
      <c r="A4" s="7" t="s">
        <v>1</v>
      </c>
      <c r="B4" s="8"/>
      <c r="C4" s="8"/>
      <c r="D4" s="8"/>
      <c r="E4" s="8"/>
      <c r="F4" s="8"/>
      <c r="G4" s="8"/>
      <c r="H4" s="9"/>
    </row>
    <row r="5" spans="1:8" ht="13.8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spans="1:8" ht="27.6" x14ac:dyDescent="0.25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tr">
        <f>TEXT('Target Inputs'!$C$7,"#,##0")&amp;" active paid facilities by end of Year 3; at or above quarterly rollout plan"</f>
        <v>74 active paid facilities by end of Year 3; at or above quarterly rollout plan</v>
      </c>
      <c r="G6" s="6" t="s">
        <v>15</v>
      </c>
      <c r="H6" s="6" t="s">
        <v>16</v>
      </c>
    </row>
    <row r="7" spans="1:8" ht="13.8" x14ac:dyDescent="0.25">
      <c r="A7" s="6" t="s">
        <v>10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</row>
    <row r="8" spans="1:8" ht="41.4" x14ac:dyDescent="0.25">
      <c r="A8" s="6" t="s">
        <v>10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28</v>
      </c>
      <c r="G8" s="6" t="s">
        <v>22</v>
      </c>
      <c r="H8" s="6" t="s">
        <v>29</v>
      </c>
    </row>
    <row r="9" spans="1:8" ht="41.4" x14ac:dyDescent="0.25">
      <c r="A9" s="6" t="s">
        <v>10</v>
      </c>
      <c r="B9" s="6" t="s">
        <v>30</v>
      </c>
      <c r="C9" s="6" t="s">
        <v>31</v>
      </c>
      <c r="D9" s="6" t="s">
        <v>32</v>
      </c>
      <c r="E9" s="6" t="s">
        <v>33</v>
      </c>
      <c r="F9" s="6" t="s">
        <v>34</v>
      </c>
      <c r="G9" s="6" t="s">
        <v>15</v>
      </c>
      <c r="H9" s="6" t="s">
        <v>35</v>
      </c>
    </row>
    <row r="10" spans="1:8" ht="27.6" x14ac:dyDescent="0.25">
      <c r="A10" s="6" t="s">
        <v>10</v>
      </c>
      <c r="B10" s="6" t="s">
        <v>36</v>
      </c>
      <c r="C10" s="6" t="s">
        <v>37</v>
      </c>
      <c r="D10" s="6" t="s">
        <v>38</v>
      </c>
      <c r="E10" s="6" t="s">
        <v>39</v>
      </c>
      <c r="F10" s="6" t="str">
        <f>"$"&amp;TEXT('Target Inputs'!$C$9,"#,##0")&amp;"–$"&amp;TEXT('Target Inputs'!$C$10,"#,##0")&amp;" per facility-year"</f>
        <v>$13,500–$16,500 per facility-year</v>
      </c>
      <c r="G10" s="6" t="s">
        <v>15</v>
      </c>
      <c r="H10" s="6" t="s">
        <v>40</v>
      </c>
    </row>
    <row r="11" spans="1:8" ht="27.6" x14ac:dyDescent="0.25">
      <c r="A11" s="6" t="s">
        <v>41</v>
      </c>
      <c r="B11" s="6" t="s">
        <v>11</v>
      </c>
      <c r="C11" s="6" t="s">
        <v>42</v>
      </c>
      <c r="D11" s="6" t="s">
        <v>43</v>
      </c>
      <c r="E11" s="6" t="s">
        <v>44</v>
      </c>
      <c r="F11" s="6" t="str">
        <f>TEXT('Target Inputs'!$C$11,"#,##0")&amp;" active paid schools by end of Year 3; at or above quarterly rollout plan"</f>
        <v>141 active paid schools by end of Year 3; at or above quarterly rollout plan</v>
      </c>
      <c r="G11" s="6" t="s">
        <v>15</v>
      </c>
      <c r="H11" s="6" t="s">
        <v>16</v>
      </c>
    </row>
    <row r="12" spans="1:8" ht="13.8" x14ac:dyDescent="0.25">
      <c r="A12" s="6" t="s">
        <v>41</v>
      </c>
      <c r="B12" s="6" t="s">
        <v>17</v>
      </c>
      <c r="C12" s="6" t="s">
        <v>45</v>
      </c>
      <c r="D12" s="6" t="s">
        <v>46</v>
      </c>
      <c r="E12" s="6" t="s">
        <v>47</v>
      </c>
      <c r="F12" s="6" t="s">
        <v>21</v>
      </c>
      <c r="G12" s="6" t="s">
        <v>22</v>
      </c>
      <c r="H12" s="6" t="s">
        <v>48</v>
      </c>
    </row>
    <row r="13" spans="1:8" ht="41.4" x14ac:dyDescent="0.25">
      <c r="A13" s="6" t="s">
        <v>41</v>
      </c>
      <c r="B13" s="6" t="s">
        <v>24</v>
      </c>
      <c r="C13" s="6" t="s">
        <v>49</v>
      </c>
      <c r="D13" s="6" t="s">
        <v>50</v>
      </c>
      <c r="E13" s="6" t="s">
        <v>27</v>
      </c>
      <c r="F13" s="6" t="s">
        <v>28</v>
      </c>
      <c r="G13" s="6" t="s">
        <v>22</v>
      </c>
      <c r="H13" s="6" t="s">
        <v>29</v>
      </c>
    </row>
    <row r="14" spans="1:8" ht="41.4" x14ac:dyDescent="0.25">
      <c r="A14" s="6" t="s">
        <v>41</v>
      </c>
      <c r="B14" s="6" t="s">
        <v>30</v>
      </c>
      <c r="C14" s="6" t="s">
        <v>51</v>
      </c>
      <c r="D14" s="6" t="s">
        <v>52</v>
      </c>
      <c r="E14" s="6" t="s">
        <v>53</v>
      </c>
      <c r="F14" s="6" t="s">
        <v>54</v>
      </c>
      <c r="G14" s="6" t="s">
        <v>15</v>
      </c>
      <c r="H14" s="6" t="s">
        <v>35</v>
      </c>
    </row>
    <row r="15" spans="1:8" ht="13.8" x14ac:dyDescent="0.25">
      <c r="A15" s="6" t="s">
        <v>41</v>
      </c>
      <c r="B15" s="6" t="s">
        <v>36</v>
      </c>
      <c r="C15" s="6" t="s">
        <v>55</v>
      </c>
      <c r="D15" s="6" t="s">
        <v>56</v>
      </c>
      <c r="E15" s="6" t="s">
        <v>39</v>
      </c>
      <c r="F15" s="6" t="str">
        <f>"$"&amp;TEXT('Target Inputs'!$C$13,"#,##0")&amp;"–$"&amp;TEXT('Target Inputs'!$C$14,"#,##0")&amp;" per school-year"</f>
        <v>$15,291–$18,689 per school-year</v>
      </c>
      <c r="G15" s="6" t="s">
        <v>15</v>
      </c>
      <c r="H15" s="6" t="s">
        <v>57</v>
      </c>
    </row>
    <row r="16" spans="1:8" ht="27.6" x14ac:dyDescent="0.25">
      <c r="A16" s="6" t="s">
        <v>58</v>
      </c>
      <c r="B16" s="6" t="s">
        <v>11</v>
      </c>
      <c r="C16" s="6" t="s">
        <v>59</v>
      </c>
      <c r="D16" s="6" t="s">
        <v>60</v>
      </c>
      <c r="E16" s="6" t="s">
        <v>61</v>
      </c>
      <c r="F16" s="6" t="str">
        <f>TEXT('Target Inputs'!$C$27,"#,##0")&amp;"–"&amp;TEXT('Target Inputs'!$C$28,"#,##0")&amp;" active paid deployments by end of Year 3 (base "&amp;TEXT('Target Inputs'!$C$15,"#,##0")&amp;")"</f>
        <v>184–920 active paid deployments by end of Year 3 (base 276)</v>
      </c>
      <c r="G16" s="6" t="s">
        <v>15</v>
      </c>
      <c r="H16" s="6" t="s">
        <v>16</v>
      </c>
    </row>
    <row r="17" spans="1:8" ht="13.8" x14ac:dyDescent="0.25">
      <c r="A17" s="6" t="s">
        <v>58</v>
      </c>
      <c r="B17" s="6" t="s">
        <v>17</v>
      </c>
      <c r="C17" s="6" t="s">
        <v>62</v>
      </c>
      <c r="D17" s="6" t="s">
        <v>63</v>
      </c>
      <c r="E17" s="6" t="s">
        <v>64</v>
      </c>
      <c r="F17" s="6" t="str">
        <f>"At least "&amp;TEXT(1-'Target Inputs'!$C$16,"0%")</f>
        <v>At least 98%</v>
      </c>
      <c r="G17" s="6" t="s">
        <v>22</v>
      </c>
      <c r="H17" s="6" t="s">
        <v>65</v>
      </c>
    </row>
    <row r="18" spans="1:8" ht="13.8" x14ac:dyDescent="0.25">
      <c r="A18" s="6" t="s">
        <v>58</v>
      </c>
      <c r="B18" s="6" t="s">
        <v>24</v>
      </c>
      <c r="C18" s="6" t="s">
        <v>66</v>
      </c>
      <c r="D18" s="6" t="s">
        <v>67</v>
      </c>
      <c r="E18" s="6" t="s">
        <v>68</v>
      </c>
      <c r="F18" s="6" t="str">
        <f>"At or below "&amp;TEXT('Target Inputs'!$C$24,"0.000")&amp;" kWh per monitored hour"</f>
        <v>At or below 0.125 kWh per monitored hour</v>
      </c>
      <c r="G18" s="6" t="s">
        <v>22</v>
      </c>
      <c r="H18" s="6" t="s">
        <v>69</v>
      </c>
    </row>
    <row r="19" spans="1:8" ht="27.6" x14ac:dyDescent="0.25">
      <c r="A19" s="6" t="s">
        <v>58</v>
      </c>
      <c r="B19" s="6" t="s">
        <v>30</v>
      </c>
      <c r="C19" s="6" t="s">
        <v>70</v>
      </c>
      <c r="D19" s="6" t="s">
        <v>71</v>
      </c>
      <c r="E19" s="6" t="s">
        <v>72</v>
      </c>
      <c r="F19" s="6" t="str">
        <f>"At or below $"&amp;TEXT('Target Inputs'!$C$22,"0.00")&amp;" per monitored hour; human baseline $"&amp;TEXT('Target Inputs'!$C$23,"0.00")</f>
        <v>At or below $11.63 per monitored hour; human baseline $28.23</v>
      </c>
      <c r="G19" s="6" t="s">
        <v>15</v>
      </c>
      <c r="H19" s="6" t="s">
        <v>73</v>
      </c>
    </row>
    <row r="20" spans="1:8" ht="27.6" x14ac:dyDescent="0.25">
      <c r="A20" s="6" t="s">
        <v>58</v>
      </c>
      <c r="B20" s="6" t="s">
        <v>36</v>
      </c>
      <c r="C20" s="6" t="s">
        <v>74</v>
      </c>
      <c r="D20" s="6" t="s">
        <v>75</v>
      </c>
      <c r="E20" s="6" t="s">
        <v>39</v>
      </c>
      <c r="F20" s="6" t="str">
        <f>"$"&amp;TEXT('Target Inputs'!$C$25,"#,##0")&amp;"–$"&amp;TEXT('Target Inputs'!$C$26,"#,##0")&amp;" per deployment-year"</f>
        <v>$11,250–$13,750 per deployment-year</v>
      </c>
      <c r="G20" s="6" t="s">
        <v>15</v>
      </c>
      <c r="H20" s="6" t="s">
        <v>76</v>
      </c>
    </row>
  </sheetData>
  <mergeCells count="2">
    <mergeCell ref="A1:H1"/>
    <mergeCell ref="A4:H4"/>
  </mergeCells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zoomScaleNormal="100" workbookViewId="0">
      <selection activeCell="C34" sqref="C34"/>
    </sheetView>
  </sheetViews>
  <sheetFormatPr defaultColWidth="8.6640625" defaultRowHeight="13.2" x14ac:dyDescent="0.25"/>
  <cols>
    <col min="1" max="1" width="23" customWidth="1"/>
    <col min="2" max="2" width="39" customWidth="1"/>
    <col min="3" max="3" width="18" customWidth="1"/>
    <col min="4" max="4" width="23" customWidth="1"/>
    <col min="5" max="5" width="17.21875" customWidth="1"/>
    <col min="6" max="6" width="12.21875" customWidth="1"/>
    <col min="7" max="7" width="55.5546875" customWidth="1"/>
  </cols>
  <sheetData>
    <row r="1" spans="1:7" ht="13.8" x14ac:dyDescent="0.25">
      <c r="A1" s="1" t="s">
        <v>77</v>
      </c>
      <c r="B1" s="1"/>
      <c r="C1" s="1"/>
      <c r="D1" s="1"/>
      <c r="E1" s="1"/>
      <c r="F1" s="1"/>
      <c r="G1" s="1"/>
    </row>
    <row r="2" spans="1:7" ht="13.8" x14ac:dyDescent="0.25">
      <c r="A2" s="3"/>
      <c r="B2" s="3"/>
      <c r="C2" s="3"/>
      <c r="D2" s="3"/>
      <c r="E2" s="3"/>
      <c r="F2" s="3"/>
      <c r="G2" s="3"/>
    </row>
    <row r="3" spans="1:7" ht="15" customHeight="1" x14ac:dyDescent="0.25">
      <c r="A3" s="2"/>
      <c r="B3" s="2"/>
      <c r="C3" s="2"/>
      <c r="D3" s="2"/>
      <c r="E3" s="2"/>
      <c r="F3" s="2"/>
      <c r="G3" s="2"/>
    </row>
    <row r="4" spans="1:7" ht="13.8" x14ac:dyDescent="0.25">
      <c r="A4" s="3"/>
      <c r="B4" s="3"/>
      <c r="C4" s="3"/>
      <c r="D4" s="3"/>
      <c r="E4" s="3"/>
      <c r="F4" s="3"/>
      <c r="G4" s="3"/>
    </row>
    <row r="5" spans="1:7" ht="15" customHeight="1" x14ac:dyDescent="0.25">
      <c r="A5" s="5" t="s">
        <v>2</v>
      </c>
      <c r="B5" s="5" t="s">
        <v>78</v>
      </c>
      <c r="C5" s="5" t="s">
        <v>79</v>
      </c>
      <c r="D5" s="5" t="s">
        <v>80</v>
      </c>
      <c r="E5" s="5" t="s">
        <v>81</v>
      </c>
      <c r="F5" s="5" t="s">
        <v>82</v>
      </c>
      <c r="G5" s="5" t="s">
        <v>83</v>
      </c>
    </row>
    <row r="6" spans="1:7" ht="15" customHeight="1" x14ac:dyDescent="0.25">
      <c r="A6" s="6" t="s">
        <v>84</v>
      </c>
      <c r="B6" s="6" t="s">
        <v>85</v>
      </c>
      <c r="C6" s="10">
        <v>0.1</v>
      </c>
      <c r="D6" s="6" t="s">
        <v>86</v>
      </c>
      <c r="E6" s="6" t="s">
        <v>87</v>
      </c>
      <c r="F6" s="6" t="s">
        <v>88</v>
      </c>
      <c r="G6" s="6" t="s">
        <v>89</v>
      </c>
    </row>
    <row r="7" spans="1:7" ht="15" customHeight="1" x14ac:dyDescent="0.25">
      <c r="A7" s="6" t="s">
        <v>10</v>
      </c>
      <c r="B7" s="6" t="s">
        <v>90</v>
      </c>
      <c r="C7" s="11">
        <v>74</v>
      </c>
      <c r="D7" s="6" t="s">
        <v>91</v>
      </c>
      <c r="E7" s="6" t="s">
        <v>92</v>
      </c>
      <c r="F7" s="6" t="s">
        <v>93</v>
      </c>
      <c r="G7" s="6" t="s">
        <v>94</v>
      </c>
    </row>
    <row r="8" spans="1:7" ht="15" customHeight="1" x14ac:dyDescent="0.25">
      <c r="A8" s="6" t="s">
        <v>10</v>
      </c>
      <c r="B8" s="6" t="s">
        <v>95</v>
      </c>
      <c r="C8" s="12">
        <v>15000</v>
      </c>
      <c r="D8" s="6" t="s">
        <v>96</v>
      </c>
      <c r="E8" s="6" t="s">
        <v>97</v>
      </c>
      <c r="F8" s="6" t="s">
        <v>93</v>
      </c>
      <c r="G8" s="6" t="s">
        <v>98</v>
      </c>
    </row>
    <row r="9" spans="1:7" ht="15" customHeight="1" x14ac:dyDescent="0.25">
      <c r="A9" s="6" t="s">
        <v>10</v>
      </c>
      <c r="B9" s="6" t="s">
        <v>99</v>
      </c>
      <c r="C9" s="13">
        <f>'Target Inputs'!C8*(1-'Target Inputs'!C6)</f>
        <v>13500</v>
      </c>
      <c r="D9" s="6" t="s">
        <v>96</v>
      </c>
      <c r="E9" s="6" t="s">
        <v>5</v>
      </c>
      <c r="F9" s="6" t="s">
        <v>93</v>
      </c>
      <c r="G9" s="6" t="s">
        <v>100</v>
      </c>
    </row>
    <row r="10" spans="1:7" ht="15" customHeight="1" x14ac:dyDescent="0.25">
      <c r="A10" s="6" t="s">
        <v>10</v>
      </c>
      <c r="B10" s="6" t="s">
        <v>101</v>
      </c>
      <c r="C10" s="13">
        <f>'Target Inputs'!C8*(1+'Target Inputs'!C6)</f>
        <v>16500</v>
      </c>
      <c r="D10" s="6" t="s">
        <v>96</v>
      </c>
      <c r="E10" s="6" t="s">
        <v>5</v>
      </c>
      <c r="F10" s="6" t="s">
        <v>93</v>
      </c>
      <c r="G10" s="6" t="s">
        <v>102</v>
      </c>
    </row>
    <row r="11" spans="1:7" ht="15" customHeight="1" x14ac:dyDescent="0.25">
      <c r="A11" s="6" t="s">
        <v>41</v>
      </c>
      <c r="B11" s="6" t="s">
        <v>90</v>
      </c>
      <c r="C11" s="11">
        <v>141</v>
      </c>
      <c r="D11" s="6" t="s">
        <v>103</v>
      </c>
      <c r="E11" s="6" t="s">
        <v>92</v>
      </c>
      <c r="F11" s="6" t="s">
        <v>93</v>
      </c>
      <c r="G11" s="6" t="s">
        <v>94</v>
      </c>
    </row>
    <row r="12" spans="1:7" ht="15" customHeight="1" x14ac:dyDescent="0.25">
      <c r="A12" s="6" t="s">
        <v>41</v>
      </c>
      <c r="B12" s="6" t="s">
        <v>104</v>
      </c>
      <c r="C12" s="12">
        <v>16990</v>
      </c>
      <c r="D12" s="6" t="s">
        <v>105</v>
      </c>
      <c r="E12" s="6" t="s">
        <v>97</v>
      </c>
      <c r="F12" s="6" t="s">
        <v>93</v>
      </c>
      <c r="G12" s="6" t="s">
        <v>98</v>
      </c>
    </row>
    <row r="13" spans="1:7" ht="15" customHeight="1" x14ac:dyDescent="0.25">
      <c r="A13" s="6" t="s">
        <v>41</v>
      </c>
      <c r="B13" s="6" t="s">
        <v>106</v>
      </c>
      <c r="C13" s="13">
        <f>'Target Inputs'!C12*(1-'Target Inputs'!C6)</f>
        <v>15291</v>
      </c>
      <c r="D13" s="6" t="s">
        <v>105</v>
      </c>
      <c r="E13" s="6" t="s">
        <v>5</v>
      </c>
      <c r="F13" s="6" t="s">
        <v>93</v>
      </c>
      <c r="G13" s="6" t="s">
        <v>100</v>
      </c>
    </row>
    <row r="14" spans="1:7" ht="15" customHeight="1" x14ac:dyDescent="0.25">
      <c r="A14" s="6" t="s">
        <v>41</v>
      </c>
      <c r="B14" s="6" t="s">
        <v>107</v>
      </c>
      <c r="C14" s="13">
        <f>'Target Inputs'!C12*(1+'Target Inputs'!C6)</f>
        <v>18689</v>
      </c>
      <c r="D14" s="6" t="s">
        <v>105</v>
      </c>
      <c r="E14" s="6" t="s">
        <v>5</v>
      </c>
      <c r="F14" s="6" t="s">
        <v>93</v>
      </c>
      <c r="G14" s="6" t="s">
        <v>102</v>
      </c>
    </row>
    <row r="15" spans="1:7" ht="15" customHeight="1" x14ac:dyDescent="0.25">
      <c r="A15" s="6" t="s">
        <v>58</v>
      </c>
      <c r="B15" s="6" t="s">
        <v>108</v>
      </c>
      <c r="C15" s="11">
        <v>276</v>
      </c>
      <c r="D15" s="6" t="s">
        <v>109</v>
      </c>
      <c r="E15" s="6" t="s">
        <v>92</v>
      </c>
      <c r="F15" s="6" t="s">
        <v>93</v>
      </c>
      <c r="G15" s="6" t="s">
        <v>110</v>
      </c>
    </row>
    <row r="16" spans="1:7" ht="15" customHeight="1" x14ac:dyDescent="0.25">
      <c r="A16" s="6" t="s">
        <v>58</v>
      </c>
      <c r="B16" s="6" t="s">
        <v>111</v>
      </c>
      <c r="C16" s="10">
        <v>0.02</v>
      </c>
      <c r="D16" s="6" t="s">
        <v>112</v>
      </c>
      <c r="E16" s="6" t="s">
        <v>97</v>
      </c>
      <c r="F16" s="6" t="s">
        <v>113</v>
      </c>
      <c r="G16" s="6" t="s">
        <v>114</v>
      </c>
    </row>
    <row r="17" spans="1:7" ht="15" customHeight="1" x14ac:dyDescent="0.25">
      <c r="A17" s="6" t="s">
        <v>58</v>
      </c>
      <c r="B17" s="6" t="s">
        <v>115</v>
      </c>
      <c r="C17" s="11">
        <v>3</v>
      </c>
      <c r="D17" s="6" t="s">
        <v>116</v>
      </c>
      <c r="E17" s="6" t="s">
        <v>97</v>
      </c>
      <c r="F17" s="6" t="s">
        <v>113</v>
      </c>
      <c r="G17" s="6" t="s">
        <v>94</v>
      </c>
    </row>
    <row r="18" spans="1:7" ht="15" customHeight="1" x14ac:dyDescent="0.25">
      <c r="A18" s="6" t="s">
        <v>58</v>
      </c>
      <c r="B18" s="6" t="s">
        <v>117</v>
      </c>
      <c r="C18" s="11">
        <v>24</v>
      </c>
      <c r="D18" s="6" t="s">
        <v>118</v>
      </c>
      <c r="E18" s="6" t="s">
        <v>97</v>
      </c>
      <c r="F18" s="6" t="s">
        <v>113</v>
      </c>
      <c r="G18" s="6" t="s">
        <v>119</v>
      </c>
    </row>
    <row r="19" spans="1:7" ht="15" customHeight="1" x14ac:dyDescent="0.25">
      <c r="A19" s="6" t="s">
        <v>58</v>
      </c>
      <c r="B19" s="6" t="s">
        <v>120</v>
      </c>
      <c r="C19" s="12">
        <v>509446.88883921702</v>
      </c>
      <c r="D19" s="6" t="s">
        <v>121</v>
      </c>
      <c r="E19" s="6" t="s">
        <v>92</v>
      </c>
      <c r="F19" s="6" t="s">
        <v>113</v>
      </c>
      <c r="G19" s="6" t="s">
        <v>94</v>
      </c>
    </row>
    <row r="20" spans="1:7" ht="15" customHeight="1" x14ac:dyDescent="0.25">
      <c r="A20" s="6" t="s">
        <v>58</v>
      </c>
      <c r="B20" s="6" t="s">
        <v>122</v>
      </c>
      <c r="C20" s="12">
        <v>1236433.52207479</v>
      </c>
      <c r="D20" s="6" t="s">
        <v>121</v>
      </c>
      <c r="E20" s="6" t="s">
        <v>92</v>
      </c>
      <c r="F20" s="6" t="s">
        <v>113</v>
      </c>
      <c r="G20" s="6" t="s">
        <v>94</v>
      </c>
    </row>
    <row r="21" spans="1:7" ht="15" customHeight="1" x14ac:dyDescent="0.25">
      <c r="A21" s="6" t="s">
        <v>58</v>
      </c>
      <c r="B21" s="6" t="s">
        <v>123</v>
      </c>
      <c r="C21" s="12">
        <v>12500</v>
      </c>
      <c r="D21" s="6" t="s">
        <v>124</v>
      </c>
      <c r="E21" s="6" t="s">
        <v>97</v>
      </c>
      <c r="F21" s="6" t="s">
        <v>113</v>
      </c>
      <c r="G21" s="6" t="s">
        <v>125</v>
      </c>
    </row>
    <row r="22" spans="1:7" ht="15" customHeight="1" x14ac:dyDescent="0.25">
      <c r="A22" s="6" t="s">
        <v>58</v>
      </c>
      <c r="B22" s="6" t="s">
        <v>70</v>
      </c>
      <c r="C22" s="14">
        <f>'Target Inputs'!C19/(5*365*'Target Inputs'!C18)</f>
        <v>11.63120750774468</v>
      </c>
      <c r="D22" s="6" t="s">
        <v>126</v>
      </c>
      <c r="E22" s="6" t="s">
        <v>5</v>
      </c>
      <c r="F22" s="6" t="s">
        <v>113</v>
      </c>
      <c r="G22" s="6" t="s">
        <v>127</v>
      </c>
    </row>
    <row r="23" spans="1:7" ht="15" customHeight="1" x14ac:dyDescent="0.25">
      <c r="A23" s="6" t="s">
        <v>58</v>
      </c>
      <c r="B23" s="6" t="s">
        <v>128</v>
      </c>
      <c r="C23" s="14">
        <f>'Target Inputs'!C20/(5*365*'Target Inputs'!C18)</f>
        <v>28.229075846456393</v>
      </c>
      <c r="D23" s="6" t="s">
        <v>126</v>
      </c>
      <c r="E23" s="6" t="s">
        <v>5</v>
      </c>
      <c r="F23" s="6" t="s">
        <v>113</v>
      </c>
      <c r="G23" s="6" t="s">
        <v>129</v>
      </c>
    </row>
    <row r="24" spans="1:7" ht="15" customHeight="1" x14ac:dyDescent="0.25">
      <c r="A24" s="6" t="s">
        <v>58</v>
      </c>
      <c r="B24" s="6" t="s">
        <v>130</v>
      </c>
      <c r="C24" s="15">
        <f>'Target Inputs'!C17/'Target Inputs'!C18</f>
        <v>0.125</v>
      </c>
      <c r="D24" s="6" t="s">
        <v>131</v>
      </c>
      <c r="E24" s="6" t="s">
        <v>5</v>
      </c>
      <c r="F24" s="6" t="s">
        <v>113</v>
      </c>
      <c r="G24" s="6" t="s">
        <v>132</v>
      </c>
    </row>
    <row r="25" spans="1:7" ht="15" customHeight="1" x14ac:dyDescent="0.25">
      <c r="A25" s="6" t="s">
        <v>58</v>
      </c>
      <c r="B25" s="6" t="s">
        <v>133</v>
      </c>
      <c r="C25" s="13">
        <f>'Target Inputs'!C21*(1-'Target Inputs'!C6)</f>
        <v>11250</v>
      </c>
      <c r="D25" s="6" t="s">
        <v>124</v>
      </c>
      <c r="E25" s="6" t="s">
        <v>5</v>
      </c>
      <c r="F25" s="6" t="s">
        <v>113</v>
      </c>
      <c r="G25" s="6" t="s">
        <v>134</v>
      </c>
    </row>
    <row r="26" spans="1:7" ht="15" customHeight="1" x14ac:dyDescent="0.25">
      <c r="A26" s="6" t="s">
        <v>58</v>
      </c>
      <c r="B26" s="6" t="s">
        <v>135</v>
      </c>
      <c r="C26" s="13">
        <f>'Target Inputs'!C21*(1+'Target Inputs'!C6)</f>
        <v>13750.000000000002</v>
      </c>
      <c r="D26" s="6" t="s">
        <v>124</v>
      </c>
      <c r="E26" s="6" t="s">
        <v>5</v>
      </c>
      <c r="F26" s="6" t="s">
        <v>113</v>
      </c>
      <c r="G26" s="6" t="s">
        <v>136</v>
      </c>
    </row>
    <row r="27" spans="1:7" ht="18" customHeight="1" x14ac:dyDescent="0.25">
      <c r="A27" s="6" t="s">
        <v>58</v>
      </c>
      <c r="B27" s="6" t="s">
        <v>137</v>
      </c>
      <c r="C27" s="11">
        <v>184</v>
      </c>
      <c r="D27" s="6" t="s">
        <v>109</v>
      </c>
      <c r="E27" s="6" t="s">
        <v>138</v>
      </c>
      <c r="F27" s="6" t="s">
        <v>93</v>
      </c>
      <c r="G27" s="6" t="s">
        <v>139</v>
      </c>
    </row>
    <row r="28" spans="1:7" ht="18" customHeight="1" x14ac:dyDescent="0.25">
      <c r="A28" s="6" t="s">
        <v>58</v>
      </c>
      <c r="B28" s="6" t="s">
        <v>140</v>
      </c>
      <c r="C28" s="11">
        <v>920</v>
      </c>
      <c r="D28" s="6" t="s">
        <v>109</v>
      </c>
      <c r="E28" s="6" t="s">
        <v>138</v>
      </c>
      <c r="F28" s="6" t="s">
        <v>93</v>
      </c>
      <c r="G28" s="6" t="s">
        <v>141</v>
      </c>
    </row>
  </sheetData>
  <mergeCells count="1">
    <mergeCell ref="A1:G1"/>
  </mergeCells>
  <phoneticPr fontId="5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selection activeCell="A20" sqref="A20"/>
    </sheetView>
  </sheetViews>
  <sheetFormatPr defaultColWidth="8.6640625" defaultRowHeight="13.2" x14ac:dyDescent="0.25"/>
  <cols>
    <col min="1" max="1" width="39" customWidth="1"/>
    <col min="2" max="4" width="17" customWidth="1"/>
    <col min="5" max="6" width="14" customWidth="1"/>
    <col min="7" max="7" width="57" customWidth="1"/>
  </cols>
  <sheetData>
    <row r="1" spans="1:7" ht="13.8" x14ac:dyDescent="0.25">
      <c r="A1" s="1" t="s">
        <v>142</v>
      </c>
      <c r="B1" s="1"/>
      <c r="C1" s="1"/>
      <c r="D1" s="1"/>
      <c r="E1" s="1"/>
      <c r="F1" s="1"/>
      <c r="G1" s="1"/>
    </row>
    <row r="2" spans="1:7" ht="13.8" x14ac:dyDescent="0.25">
      <c r="A2" s="3"/>
      <c r="B2" s="3"/>
      <c r="C2" s="3"/>
      <c r="D2" s="3"/>
      <c r="E2" s="3"/>
      <c r="F2" s="3"/>
      <c r="G2" s="3"/>
    </row>
    <row r="3" spans="1:7" ht="13.8" x14ac:dyDescent="0.25">
      <c r="A3" s="3"/>
      <c r="B3" s="3"/>
      <c r="C3" s="3"/>
      <c r="D3" s="3"/>
      <c r="E3" s="3"/>
      <c r="F3" s="3"/>
      <c r="G3" s="3"/>
    </row>
    <row r="4" spans="1:7" ht="13.8" x14ac:dyDescent="0.25">
      <c r="A4" s="3"/>
      <c r="B4" s="3"/>
      <c r="C4" s="3"/>
      <c r="D4" s="3"/>
      <c r="E4" s="3"/>
      <c r="F4" s="3"/>
      <c r="G4" s="3"/>
    </row>
    <row r="5" spans="1:7" ht="15" customHeight="1" x14ac:dyDescent="0.25">
      <c r="A5" s="5" t="s">
        <v>143</v>
      </c>
      <c r="B5" s="5" t="s">
        <v>144</v>
      </c>
      <c r="C5" s="5" t="s">
        <v>145</v>
      </c>
      <c r="D5" s="5" t="s">
        <v>146</v>
      </c>
      <c r="E5" s="5" t="s">
        <v>147</v>
      </c>
      <c r="F5" s="5" t="s">
        <v>148</v>
      </c>
      <c r="G5" s="5" t="s">
        <v>149</v>
      </c>
    </row>
    <row r="6" spans="1:7" ht="15" customHeight="1" x14ac:dyDescent="0.25">
      <c r="A6" s="6" t="s">
        <v>150</v>
      </c>
      <c r="B6" s="16">
        <f>COUNTA('KPI Dashboard'!C6:C20)</f>
        <v>15</v>
      </c>
      <c r="C6" s="16">
        <v>15</v>
      </c>
      <c r="D6" s="16">
        <f t="shared" ref="D6:D12" si="0">B6-C6</f>
        <v>0</v>
      </c>
      <c r="E6" s="16">
        <v>0</v>
      </c>
      <c r="F6" s="6" t="str">
        <f t="shared" ref="F6:F12" si="1">IF(D6=0,"PASS","FAIL")</f>
        <v>PASS</v>
      </c>
      <c r="G6" s="6" t="s">
        <v>151</v>
      </c>
    </row>
    <row r="7" spans="1:7" ht="15" customHeight="1" x14ac:dyDescent="0.25">
      <c r="A7" s="6" t="s">
        <v>152</v>
      </c>
      <c r="B7" s="16">
        <f>COUNTIF('KPI Dashboard'!A6:A20,"Fari")</f>
        <v>5</v>
      </c>
      <c r="C7" s="16">
        <v>5</v>
      </c>
      <c r="D7" s="16">
        <f t="shared" si="0"/>
        <v>0</v>
      </c>
      <c r="E7" s="16">
        <v>0</v>
      </c>
      <c r="F7" s="6" t="str">
        <f t="shared" si="1"/>
        <v>PASS</v>
      </c>
      <c r="G7" s="6" t="s">
        <v>153</v>
      </c>
    </row>
    <row r="8" spans="1:7" ht="15" customHeight="1" x14ac:dyDescent="0.25">
      <c r="A8" s="6" t="s">
        <v>154</v>
      </c>
      <c r="B8" s="16">
        <f>COUNTIF('KPI Dashboard'!A6:A20,"Senpai")</f>
        <v>5</v>
      </c>
      <c r="C8" s="16">
        <v>5</v>
      </c>
      <c r="D8" s="16">
        <f t="shared" si="0"/>
        <v>0</v>
      </c>
      <c r="E8" s="16">
        <v>0</v>
      </c>
      <c r="F8" s="6" t="str">
        <f t="shared" si="1"/>
        <v>PASS</v>
      </c>
      <c r="G8" s="6" t="s">
        <v>155</v>
      </c>
    </row>
    <row r="9" spans="1:7" ht="13.8" x14ac:dyDescent="0.25">
      <c r="A9" s="6" t="s">
        <v>156</v>
      </c>
      <c r="B9" s="16">
        <f>COUNTIF('KPI Dashboard'!A6:A20,"Sentinel Prime AI")</f>
        <v>5</v>
      </c>
      <c r="C9" s="16">
        <v>5</v>
      </c>
      <c r="D9" s="16">
        <f t="shared" si="0"/>
        <v>0</v>
      </c>
      <c r="E9" s="16">
        <v>0</v>
      </c>
      <c r="F9" s="6" t="str">
        <f t="shared" si="1"/>
        <v>PASS</v>
      </c>
      <c r="G9" s="6" t="s">
        <v>157</v>
      </c>
    </row>
    <row r="10" spans="1:7" ht="27.6" x14ac:dyDescent="0.25">
      <c r="A10" s="6" t="s">
        <v>158</v>
      </c>
      <c r="B10" s="16">
        <f>COUNTBLANK('KPI Dashboard'!A6:H20)</f>
        <v>0</v>
      </c>
      <c r="C10" s="16">
        <v>0</v>
      </c>
      <c r="D10" s="16">
        <f t="shared" si="0"/>
        <v>0</v>
      </c>
      <c r="E10" s="16">
        <v>0</v>
      </c>
      <c r="F10" s="6" t="str">
        <f t="shared" si="1"/>
        <v>PASS</v>
      </c>
      <c r="G10" s="6" t="s">
        <v>159</v>
      </c>
    </row>
    <row r="11" spans="1:7" ht="27.6" x14ac:dyDescent="0.25">
      <c r="A11" s="6" t="s">
        <v>160</v>
      </c>
      <c r="B11" s="16">
        <f>COUNTIF('KPI Dashboard'!B6:B20,"Deployment &amp; adoption")+COUNTIF('KPI Dashboard'!B6:B20,"Operational performance")+COUNTIF('KPI Dashboard'!B6:B20,"Energy efficiency")+COUNTIF('KPI Dashboard'!B6:B20,"Customer economics")+COUNTIF('KPI Dashboard'!B6:B20,"Business health")</f>
        <v>15</v>
      </c>
      <c r="C11" s="16">
        <v>15</v>
      </c>
      <c r="D11" s="16">
        <f t="shared" si="0"/>
        <v>0</v>
      </c>
      <c r="E11" s="16">
        <v>0</v>
      </c>
      <c r="F11" s="6" t="str">
        <f t="shared" si="1"/>
        <v>PASS</v>
      </c>
      <c r="G11" s="6" t="s">
        <v>161</v>
      </c>
    </row>
    <row r="12" spans="1:7" ht="13.8" x14ac:dyDescent="0.25">
      <c r="A12" s="6" t="s">
        <v>162</v>
      </c>
      <c r="B12" s="6">
        <f>COUNTBLANK('Target Inputs'!E6:E28)</f>
        <v>0</v>
      </c>
      <c r="C12" s="6">
        <v>0</v>
      </c>
      <c r="D12" s="6">
        <f t="shared" si="0"/>
        <v>0</v>
      </c>
      <c r="E12" s="6">
        <v>0</v>
      </c>
      <c r="F12" s="6" t="str">
        <f t="shared" si="1"/>
        <v>PASS</v>
      </c>
      <c r="G12" s="6" t="s">
        <v>163</v>
      </c>
    </row>
    <row r="13" spans="1:7" ht="13.8" x14ac:dyDescent="0.25">
      <c r="A13" s="3"/>
      <c r="B13" s="3"/>
      <c r="C13" s="3"/>
      <c r="D13" s="3"/>
      <c r="E13" s="3"/>
      <c r="F13" s="3"/>
      <c r="G13" s="3"/>
    </row>
    <row r="14" spans="1:7" ht="13.8" x14ac:dyDescent="0.25">
      <c r="A14" s="4" t="s">
        <v>164</v>
      </c>
      <c r="B14" s="4"/>
      <c r="C14" s="4"/>
      <c r="D14" s="4"/>
      <c r="E14" s="4"/>
      <c r="F14" s="17" t="str">
        <f>IF(COUNTIF(F6:F12,"FAIL")=0,"PASS","FAIL")</f>
        <v>PASS</v>
      </c>
      <c r="G14" s="17"/>
    </row>
  </sheetData>
  <mergeCells count="3">
    <mergeCell ref="A1:G1"/>
    <mergeCell ref="A14:E14"/>
    <mergeCell ref="F14:G14"/>
  </mergeCells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zoomScaleNormal="100" workbookViewId="0">
      <selection activeCell="E18" sqref="E18"/>
    </sheetView>
  </sheetViews>
  <sheetFormatPr defaultColWidth="8.6640625" defaultRowHeight="13.2" x14ac:dyDescent="0.25"/>
  <cols>
    <col min="1" max="1" width="12" customWidth="1"/>
    <col min="2" max="2" width="35" customWidth="1"/>
    <col min="3" max="3" width="40" customWidth="1"/>
    <col min="4" max="4" width="20" customWidth="1"/>
    <col min="5" max="5" width="36" customWidth="1"/>
    <col min="6" max="6" width="64" customWidth="1"/>
    <col min="7" max="7" width="49" customWidth="1"/>
  </cols>
  <sheetData>
    <row r="1" spans="1:7" ht="13.8" x14ac:dyDescent="0.25">
      <c r="A1" s="1" t="s">
        <v>165</v>
      </c>
      <c r="B1" s="1"/>
      <c r="C1" s="1"/>
      <c r="D1" s="1"/>
      <c r="E1" s="1"/>
      <c r="F1" s="1"/>
      <c r="G1" s="1"/>
    </row>
    <row r="2" spans="1:7" ht="13.8" x14ac:dyDescent="0.25">
      <c r="A2" s="3"/>
      <c r="B2" s="3"/>
      <c r="C2" s="3"/>
      <c r="D2" s="3"/>
      <c r="E2" s="3"/>
      <c r="F2" s="3"/>
      <c r="G2" s="3"/>
    </row>
    <row r="3" spans="1:7" ht="13.8" x14ac:dyDescent="0.25">
      <c r="A3" s="3"/>
      <c r="B3" s="3"/>
      <c r="C3" s="3"/>
      <c r="D3" s="3"/>
      <c r="E3" s="3"/>
      <c r="F3" s="3"/>
      <c r="G3" s="3"/>
    </row>
    <row r="4" spans="1:7" ht="13.8" x14ac:dyDescent="0.25">
      <c r="A4" s="3"/>
      <c r="B4" s="3"/>
      <c r="C4" s="3"/>
      <c r="D4" s="3"/>
      <c r="E4" s="3"/>
      <c r="F4" s="3"/>
      <c r="G4" s="3"/>
    </row>
    <row r="5" spans="1:7" ht="13.8" x14ac:dyDescent="0.25">
      <c r="A5" s="5" t="s">
        <v>82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  <c r="G5" s="5" t="s">
        <v>149</v>
      </c>
    </row>
    <row r="6" spans="1:7" ht="27.6" x14ac:dyDescent="0.25">
      <c r="A6" s="6" t="s">
        <v>93</v>
      </c>
      <c r="B6" s="6" t="s">
        <v>171</v>
      </c>
      <c r="C6" s="6" t="s">
        <v>172</v>
      </c>
      <c r="D6" s="6" t="s">
        <v>173</v>
      </c>
      <c r="E6" s="6" t="s">
        <v>174</v>
      </c>
      <c r="F6" s="6"/>
      <c r="G6" s="6" t="s">
        <v>175</v>
      </c>
    </row>
    <row r="7" spans="1:7" ht="27.6" x14ac:dyDescent="0.25">
      <c r="A7" s="6" t="s">
        <v>113</v>
      </c>
      <c r="B7" s="6" t="s">
        <v>176</v>
      </c>
      <c r="C7" s="6" t="s">
        <v>177</v>
      </c>
      <c r="D7" s="6" t="s">
        <v>173</v>
      </c>
      <c r="E7" s="6" t="s">
        <v>178</v>
      </c>
      <c r="F7" s="6"/>
      <c r="G7" s="6" t="s">
        <v>179</v>
      </c>
    </row>
    <row r="8" spans="1:7" ht="13.8" x14ac:dyDescent="0.25">
      <c r="A8" s="6" t="s">
        <v>180</v>
      </c>
      <c r="B8" s="6" t="s">
        <v>181</v>
      </c>
      <c r="C8" s="6" t="s">
        <v>182</v>
      </c>
      <c r="D8" s="6" t="s">
        <v>183</v>
      </c>
      <c r="E8" s="6" t="s">
        <v>184</v>
      </c>
      <c r="F8" s="6" t="s">
        <v>185</v>
      </c>
      <c r="G8" s="6" t="s">
        <v>186</v>
      </c>
    </row>
    <row r="9" spans="1:7" ht="27.6" x14ac:dyDescent="0.25">
      <c r="A9" s="6" t="s">
        <v>187</v>
      </c>
      <c r="B9" s="6" t="s">
        <v>188</v>
      </c>
      <c r="C9" s="6" t="s">
        <v>189</v>
      </c>
      <c r="D9" s="6" t="s">
        <v>183</v>
      </c>
      <c r="E9" s="6" t="s">
        <v>190</v>
      </c>
      <c r="F9" s="6" t="s">
        <v>191</v>
      </c>
      <c r="G9" s="6" t="s">
        <v>192</v>
      </c>
    </row>
    <row r="10" spans="1:7" ht="13.8" x14ac:dyDescent="0.25">
      <c r="A10" s="6" t="s">
        <v>193</v>
      </c>
      <c r="B10" s="6" t="s">
        <v>194</v>
      </c>
      <c r="C10" s="6" t="s">
        <v>195</v>
      </c>
      <c r="D10" s="6" t="s">
        <v>196</v>
      </c>
      <c r="E10" s="6" t="s">
        <v>197</v>
      </c>
      <c r="F10" s="6" t="s">
        <v>198</v>
      </c>
      <c r="G10" s="6" t="s">
        <v>199</v>
      </c>
    </row>
    <row r="11" spans="1:7" ht="27.6" x14ac:dyDescent="0.25">
      <c r="A11" s="6" t="s">
        <v>200</v>
      </c>
      <c r="B11" s="6" t="s">
        <v>201</v>
      </c>
      <c r="C11" s="6" t="s">
        <v>202</v>
      </c>
      <c r="D11" s="6" t="s">
        <v>203</v>
      </c>
      <c r="E11" s="6" t="s">
        <v>204</v>
      </c>
      <c r="F11" s="6"/>
      <c r="G11" s="6" t="s">
        <v>205</v>
      </c>
    </row>
  </sheetData>
  <mergeCells count="1">
    <mergeCell ref="A1:G1"/>
  </mergeCells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KPI Dashboard</vt:lpstr>
      <vt:lpstr>Target Inputs</vt:lpstr>
      <vt:lpstr>Checks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2026-08-03T13:34:35Z</dcterms:created>
  <dcterms:modified xsi:type="dcterms:W3CDTF">2026-08-03T13:49:03Z</dcterms:modified>
  <dc:language>en-US</dc:language>
</cp:coreProperties>
</file>
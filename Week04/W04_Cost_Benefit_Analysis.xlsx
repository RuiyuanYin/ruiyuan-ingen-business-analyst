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sktop\新建文件夹\V2\"/>
    </mc:Choice>
  </mc:AlternateContent>
  <xr:revisionPtr revIDLastSave="0" documentId="13_ncr:1_{5C834B86-D1C5-421A-B7E6-6D50133039AF}" xr6:coauthVersionLast="47" xr6:coauthVersionMax="47" xr10:uidLastSave="{00000000-0000-0000-0000-000000000000}"/>
  <bookViews>
    <workbookView xWindow="1536" yWindow="540" windowWidth="25944" windowHeight="15828" tabRatio="500" activeTab="5" xr2:uid="{00000000-000D-0000-FFFF-FFFF00000000}"/>
  </bookViews>
  <sheets>
    <sheet name="Summary" sheetId="1" r:id="rId1"/>
    <sheet name="Assumptions" sheetId="2" r:id="rId2"/>
    <sheet name="Cash Flow" sheetId="3" r:id="rId3"/>
    <sheet name="Sensitivity" sheetId="4" r:id="rId4"/>
    <sheet name="Checks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5" l="1"/>
  <c r="F13" i="5"/>
  <c r="D13" i="5"/>
  <c r="B13" i="5"/>
  <c r="F12" i="5"/>
  <c r="D12" i="5"/>
  <c r="B12" i="5"/>
  <c r="F11" i="5"/>
  <c r="D11" i="5"/>
  <c r="B11" i="5"/>
  <c r="F10" i="5"/>
  <c r="D10" i="5"/>
  <c r="C10" i="5"/>
  <c r="B10" i="5"/>
  <c r="F9" i="5"/>
  <c r="C9" i="5"/>
  <c r="B9" i="5"/>
  <c r="F8" i="5"/>
  <c r="D8" i="5"/>
  <c r="C8" i="5"/>
  <c r="B8" i="5"/>
  <c r="F7" i="5"/>
  <c r="D7" i="5"/>
  <c r="C7" i="5"/>
  <c r="B7" i="5"/>
  <c r="F6" i="5"/>
  <c r="D6" i="5"/>
  <c r="C6" i="5"/>
  <c r="B6" i="5"/>
  <c r="B20" i="4"/>
  <c r="B19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I8" i="4"/>
  <c r="H8" i="4"/>
  <c r="G8" i="4"/>
  <c r="F8" i="4"/>
  <c r="E8" i="4"/>
  <c r="D8" i="4"/>
  <c r="I7" i="4"/>
  <c r="H7" i="4"/>
  <c r="G7" i="4"/>
  <c r="F7" i="4"/>
  <c r="E7" i="4"/>
  <c r="D7" i="4"/>
  <c r="C7" i="4"/>
  <c r="I6" i="4"/>
  <c r="H6" i="4"/>
  <c r="G6" i="4"/>
  <c r="F6" i="4"/>
  <c r="E6" i="4"/>
  <c r="D6" i="4"/>
  <c r="C6" i="4"/>
  <c r="B32" i="3"/>
  <c r="B31" i="3"/>
  <c r="B30" i="3"/>
  <c r="B29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C31" i="2"/>
  <c r="C25" i="2"/>
  <c r="C10" i="2"/>
  <c r="B22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B11" i="1"/>
  <c r="B10" i="1"/>
  <c r="B9" i="1"/>
  <c r="B8" i="1"/>
  <c r="B7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Week 4 internship plan | Five-year model horizon.</t>
        </r>
      </text>
    </comment>
    <comment ref="C8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U.S. Department of the Treasury | Daily Treasury Par Yield Curve Rates | 2026-07-31 | 10-year rate: 4.75%.</t>
        </r>
      </text>
    </comment>
    <comment ref="C9" authorId="0" shapeId="0" xr:uid="{00000000-0006-0000-0100-00000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Week 4 internship plan | Required 3% risk premium.</t>
        </r>
      </text>
    </comment>
    <comment ref="C12" authorId="0" shapeId="0" xr:uid="{00000000-0006-0000-01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W03_TCO_Analysis.xlsx and W01_InGen_BA_Landscape.md | Sentinel Tier 3 midpoint estimate.</t>
        </r>
      </text>
    </comment>
    <comment ref="C18" authorId="0" shapeId="0" xr:uid="{00000000-0006-0000-01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W03_TCO_Analysis.xlsx | Fixed annual software / monitoring input.</t>
        </r>
      </text>
    </comment>
    <comment ref="C21" authorId="0" shapeId="0" xr:uid="{00000000-0006-0000-0100-00000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U.S. EIA Table 5.3 | 2025 U.S. commercial average electricity price.</t>
        </r>
      </text>
    </comment>
    <comment ref="C23" authorId="0" shapeId="0" xr:uid="{00000000-0006-0000-01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W03_TCO_Analysis.xlsx | BLS mean wage multiplied by ECEC benefit factor.</t>
        </r>
      </text>
    </comment>
  </commentList>
</comments>
</file>

<file path=xl/sharedStrings.xml><?xml version="1.0" encoding="utf-8"?>
<sst xmlns="http://schemas.openxmlformats.org/spreadsheetml/2006/main" count="323" uniqueCount="216">
  <si>
    <t>W04 Sentinel Prime AI Cost-Benefit Analysis</t>
  </si>
  <si>
    <t>Base-case result</t>
  </si>
  <si>
    <t>Metric</t>
  </si>
  <si>
    <t>Value</t>
  </si>
  <si>
    <t>Basis</t>
  </si>
  <si>
    <t>Interpretation</t>
  </si>
  <si>
    <t>Initial investment</t>
  </si>
  <si>
    <t>Year 0</t>
  </si>
  <si>
    <t>Initial deployment cost is counted once.</t>
  </si>
  <si>
    <t>Discount rate</t>
  </si>
  <si>
    <t>4.75% Treasury + 3.00% premium</t>
  </si>
  <si>
    <t>Treasury date: 2026-07-31.</t>
  </si>
  <si>
    <t>NPV</t>
  </si>
  <si>
    <t>Selected-horizon discounted cash flow</t>
  </si>
  <si>
    <t>Positive value after the initial investment.</t>
  </si>
  <si>
    <t>IRR</t>
  </si>
  <si>
    <t>IRR() on net cash flow</t>
  </si>
  <si>
    <t>Savings are high relative to the initial outlay.</t>
  </si>
  <si>
    <t>Payback year</t>
  </si>
  <si>
    <t>Cumulative cash flow</t>
  </si>
  <si>
    <t>Cumulative cash flow turns positive in Year 1.</t>
  </si>
  <si>
    <t>Approximate payback</t>
  </si>
  <si>
    <t>Linear estimate within Year 1</t>
  </si>
  <si>
    <t>The initial investment is recovered in about 7.6 months.</t>
  </si>
  <si>
    <t>Required sensitivity results</t>
  </si>
  <si>
    <t>Scenario</t>
  </si>
  <si>
    <t>Change vs. base</t>
  </si>
  <si>
    <t>Approx. payback</t>
  </si>
  <si>
    <t>Main result</t>
  </si>
  <si>
    <t>Largest NPV impact</t>
  </si>
  <si>
    <t>Business meaning</t>
  </si>
  <si>
    <t>One modeled deployment already has positive NPV and reaches payback in Year 1, so this customer-side model does not imply a minimum contract-size requirement.</t>
  </si>
  <si>
    <t>W04 Sentinel Prime AI Cost-Benefit Analysis — Assumptions</t>
  </si>
  <si>
    <t>Category</t>
  </si>
  <si>
    <t>Input</t>
  </si>
  <si>
    <t>Unit</t>
  </si>
  <si>
    <t>Type</t>
  </si>
  <si>
    <t>Source ID</t>
  </si>
  <si>
    <t>Derivation / Note</t>
  </si>
  <si>
    <t>General</t>
  </si>
  <si>
    <t>Model horizon</t>
  </si>
  <si>
    <t>years</t>
  </si>
  <si>
    <t>Required assumption</t>
  </si>
  <si>
    <t>S06</t>
  </si>
  <si>
    <t>Controls operating cash flows and end-of-life value; default is five years</t>
  </si>
  <si>
    <t>Annual cost escalation</t>
  </si>
  <si>
    <t>%/year</t>
  </si>
  <si>
    <t>W03 input</t>
  </si>
  <si>
    <t>S01</t>
  </si>
  <si>
    <t>Applied to recurring costs</t>
  </si>
  <si>
    <t>10-year Treasury yield</t>
  </si>
  <si>
    <t>%</t>
  </si>
  <si>
    <t>Public source</t>
  </si>
  <si>
    <t>S02</t>
  </si>
  <si>
    <t>U.S. Treasury daily par yield curve, 2026-07-31</t>
  </si>
  <si>
    <t>Risk premium</t>
  </si>
  <si>
    <t>Added to the 10-year Treasury yield</t>
  </si>
  <si>
    <t>Applied discount rate</t>
  </si>
  <si>
    <t>Formula</t>
  </si>
  <si>
    <t>S02/S06</t>
  </si>
  <si>
    <t>Treasury yield plus risk premium</t>
  </si>
  <si>
    <t>Initial deployment</t>
  </si>
  <si>
    <t>Hardware / system cost</t>
  </si>
  <si>
    <t>USD</t>
  </si>
  <si>
    <t>S01/S05</t>
  </si>
  <si>
    <t>Midpoint of the Week 1 Tier 3 estimate</t>
  </si>
  <si>
    <t>Shipping</t>
  </si>
  <si>
    <t>% hardware</t>
  </si>
  <si>
    <t>Percentage of hardware cost</t>
  </si>
  <si>
    <t>Additional sensors / payload</t>
  </si>
  <si>
    <t>Site preparation</t>
  </si>
  <si>
    <t>Integration</t>
  </si>
  <si>
    <t>Training</t>
  </si>
  <si>
    <t>Recurring</t>
  </si>
  <si>
    <t>Software / monitoring</t>
  </si>
  <si>
    <t>USD/year</t>
  </si>
  <si>
    <t>W03 set this amount at 20% of base hardware; this sensitivity holds the contract-priced software amount fixed</t>
  </si>
  <si>
    <t>Daily electricity use</t>
  </si>
  <si>
    <t>kWh/day</t>
  </si>
  <si>
    <t>24/7 sensor and edge-compute estimate</t>
  </si>
  <si>
    <t>Operating days</t>
  </si>
  <si>
    <t>days/year</t>
  </si>
  <si>
    <t>Continuous operation</t>
  </si>
  <si>
    <t>Commercial electricity price</t>
  </si>
  <si>
    <t>USD/kWh</t>
  </si>
  <si>
    <t>S04</t>
  </si>
  <si>
    <t>2025 U.S. commercial average</t>
  </si>
  <si>
    <t>Maintenance rate</t>
  </si>
  <si>
    <t>% hardware/year</t>
  </si>
  <si>
    <t>Applied to hardware cost</t>
  </si>
  <si>
    <t>Labor</t>
  </si>
  <si>
    <t>Security-guard mean hourly wage</t>
  </si>
  <si>
    <t>USD/hour</t>
  </si>
  <si>
    <t>S03</t>
  </si>
  <si>
    <t>BLS OEWS H_MEAN for OCC 33-9032</t>
  </si>
  <si>
    <t>ECEC benefit load factor</t>
  </si>
  <si>
    <t>x wage</t>
  </si>
  <si>
    <t>W03 formula</t>
  </si>
  <si>
    <t>W03: $23.63 total compensation divided by $18.15 wages and salaries</t>
  </si>
  <si>
    <t>Loaded security-guard cost</t>
  </si>
  <si>
    <t>Mean hourly wage multiplied by the ECEC benefit load factor</t>
  </si>
  <si>
    <t>Human-security coverage</t>
  </si>
  <si>
    <t>hours/day</t>
  </si>
  <si>
    <t>One continuous monitoring post</t>
  </si>
  <si>
    <t>Human oversight share</t>
  </si>
  <si>
    <t>% guard hours</t>
  </si>
  <si>
    <t>Human-in-the-loop review and response</t>
  </si>
  <si>
    <t>Downtime backup rate</t>
  </si>
  <si>
    <t>Human backup while unavailable</t>
  </si>
  <si>
    <t>Recovery</t>
  </si>
  <si>
    <t>End-of-life value</t>
  </si>
  <si>
    <t>Recovered at the end of the selected useful life; the same 10% basis is used in the three-year case</t>
  </si>
  <si>
    <t>Reference</t>
  </si>
  <si>
    <t>W03 five-year nominal savings</t>
  </si>
  <si>
    <t>W03 output</t>
  </si>
  <si>
    <t>Used only for reconciliation</t>
  </si>
  <si>
    <t>Calculated</t>
  </si>
  <si>
    <t>Hardware plus shipping, payload, site work, integration, and training</t>
  </si>
  <si>
    <t>Sentinel Prime AI — Five-Year Discounted Cash Flow</t>
  </si>
  <si>
    <t>Cash flow item</t>
  </si>
  <si>
    <t>Hardware / system</t>
  </si>
  <si>
    <t>Total initial investment</t>
  </si>
  <si>
    <t>Annual savings and operating cash flow</t>
  </si>
  <si>
    <t>Human-security cost avoided</t>
  </si>
  <si>
    <t>Electricity</t>
  </si>
  <si>
    <t>Maintenance</t>
  </si>
  <si>
    <t>Human oversight</t>
  </si>
  <si>
    <t>Downtime backup labor</t>
  </si>
  <si>
    <t>End-of-life value recovered</t>
  </si>
  <si>
    <t>Net cash flow</t>
  </si>
  <si>
    <t>Discount factor</t>
  </si>
  <si>
    <t>Discounted cash flow</t>
  </si>
  <si>
    <t>Cumulative net cash flow</t>
  </si>
  <si>
    <t>Cumulative discounted cash flow</t>
  </si>
  <si>
    <t>Financial outputs</t>
  </si>
  <si>
    <t>Present value of Year 1–5 savings less the Year 0 investment</t>
  </si>
  <si>
    <t>Excel IRR() on Year 0–5 net cash flow</t>
  </si>
  <si>
    <t>First year with non-negative cumulative cash flow</t>
  </si>
  <si>
    <t>Linear estimate within the payback year</t>
  </si>
  <si>
    <t>Sentinel Prime AI — Required Sensitivity Analysis</t>
  </si>
  <si>
    <t>Scenario summary</t>
  </si>
  <si>
    <t>Hardware multiplier</t>
  </si>
  <si>
    <t>Useful life</t>
  </si>
  <si>
    <t>Base</t>
  </si>
  <si>
    <t>Base case at the selected model horizon</t>
  </si>
  <si>
    <t>Hardware cost +20%</t>
  </si>
  <si>
    <t>Hardware-linked costs change; W03 set software at 20% of base hardware, but this case holds the contract price fixed</t>
  </si>
  <si>
    <t>Useful life reduced to 3 years</t>
  </si>
  <si>
    <t>Year 4–5 cash flows are removed; residual value moves to Year 3 and remains 10% at end of useful life</t>
  </si>
  <si>
    <t>Net cash flow by scenario</t>
  </si>
  <si>
    <t>NPV reduction</t>
  </si>
  <si>
    <t>Shortening useful life to three years removes the final two years of savings and has the larger NPV impact in the current model.</t>
  </si>
  <si>
    <t>W04 Sentinel Prime AI Cost-Benefit Analysis — Checks</t>
  </si>
  <si>
    <t>Check</t>
  </si>
  <si>
    <t>Actual</t>
  </si>
  <si>
    <t>Expected</t>
  </si>
  <si>
    <t>Difference</t>
  </si>
  <si>
    <t>Tolerance</t>
  </si>
  <si>
    <t>Status</t>
  </si>
  <si>
    <t>Notes</t>
  </si>
  <si>
    <t>Initial investment components tie</t>
  </si>
  <si>
    <t>Initial investment is recognized once in Year 0.</t>
  </si>
  <si>
    <t>Discount rate equals Treasury plus risk premium</t>
  </si>
  <si>
    <t>4.75% Treasury yield plus 3.00% risk premium.</t>
  </si>
  <si>
    <t>Base NPV ties to discounted cash flow</t>
  </si>
  <si>
    <t>NPV() result equals the displayed discounted cash-flow schedule.</t>
  </si>
  <si>
    <t>Base cash-flow sign pattern</t>
  </si>
  <si>
    <t>One negative Year 0 flow and one positive flow for each active year.</t>
  </si>
  <si>
    <t>Nominal cash flow ties to W03 five-year savings</t>
  </si>
  <si>
    <t>Ties to the W03 result when the selected horizon is five years.</t>
  </si>
  <si>
    <t>Three-year case has no Year 4–5 cash flow</t>
  </si>
  <si>
    <t>Useful-life sensitivity excludes Years 4 and 5.</t>
  </si>
  <si>
    <t>All required cases have positive NPV</t>
  </si>
  <si>
    <t>Base and both required downside cases remain above zero.</t>
  </si>
  <si>
    <t>Sensitivity base cash flow ties to Cash Flow</t>
  </si>
  <si>
    <t>Independent scenario formulas match the base cash-flow schedule.</t>
  </si>
  <si>
    <t>MODEL STATUS</t>
  </si>
  <si>
    <t>W04 Sentinel Prime AI Cost-Benefit Analysis — Sources</t>
  </si>
  <si>
    <t>Model Input / Use</t>
  </si>
  <si>
    <t>Value / Unit</t>
  </si>
  <si>
    <t>Period</t>
  </si>
  <si>
    <t>Source</t>
  </si>
  <si>
    <t>URL</t>
  </si>
  <si>
    <t>Sentinel baseline inputs and TCO reconciliation</t>
  </si>
  <si>
    <t>$98,125 initial investment; $726,987 nominal five-year savings</t>
  </si>
  <si>
    <t>Week 3</t>
  </si>
  <si>
    <t>W03_TCO_Analysis.xlsx</t>
  </si>
  <si>
    <t>Provides the Sentinel cost structure, recurring costs, and W03 reconciliation value.</t>
  </si>
  <si>
    <t>4.75%</t>
  </si>
  <si>
    <t>2026-07-31</t>
  </si>
  <si>
    <t>U.S. Department of the Treasury — Daily Treasury Par Yield Curve Rates</t>
  </si>
  <si>
    <t>https://home.treasury.gov/resource-center/data-chart-center/interest-rates/TextView?field_tdr_date_value=2026&amp;type=daily_treasury_yield_curve</t>
  </si>
  <si>
    <t>10-year par yield used as the risk-free base rate.</t>
  </si>
  <si>
    <t>Security-guard wage and benefit load</t>
  </si>
  <si>
    <t>$20.42/hour mean wage; 1.302 benefit factor</t>
  </si>
  <si>
    <t>May 2025 / March 2026</t>
  </si>
  <si>
    <t>BLS OEWS and Employer Costs for Employee Compensation</t>
  </si>
  <si>
    <t>https://www.bls.gov/oes/tables.htm</t>
  </si>
  <si>
    <t>W04 separates the $20.42 mean wage and 1.302 benefit factor, then calculates loaded labor cost by formula.</t>
  </si>
  <si>
    <t>$0.1341/kWh</t>
  </si>
  <si>
    <t>2025</t>
  </si>
  <si>
    <t>U.S. EIA Table 5.3</t>
  </si>
  <si>
    <t>https://www.eia.gov/electricity/monthly/xls/table_5_03.xlsx</t>
  </si>
  <si>
    <t>U.S. commercial-sector annual average used in W03.</t>
  </si>
  <si>
    <t>S05</t>
  </si>
  <si>
    <t>Sentinel cost tier and product role</t>
  </si>
  <si>
    <t>$25,000–$100,000 Tier 3</t>
  </si>
  <si>
    <t>2026-07-13</t>
  </si>
  <si>
    <t>W01_InGen_BA_Landscape.md / InGen Dynamics</t>
  </si>
  <si>
    <t>https://ingendynamics.com/sentinel.html</t>
  </si>
  <si>
    <t>W03 uses the tier midpoint as the hardware/system estimate.</t>
  </si>
  <si>
    <t>Discount-rate rule and required sensitivity cases</t>
  </si>
  <si>
    <t>10-year Treasury + 3%; hardware +20%; life = 3 years</t>
  </si>
  <si>
    <t>Week 4</t>
  </si>
  <si>
    <t>Internship plan</t>
  </si>
  <si>
    <t>Defines the W04 analysis method and required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</si>
</sst>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78" formatCode="\$#,##0.0;&quot;($&quot;#,##0.0\);\-"/>
    <numFmt numFmtId="179" formatCode="#,##0.0;\(#,##0.0\);\-"/>
    <numFmt numFmtId="180" formatCode="0.000%"/>
    <numFmt numFmtId="181" formatCode="0.0\x"/>
    <numFmt numFmtId="182" formatCode="0&quot; years&quot;"/>
    <numFmt numFmtId="183" formatCode="\$#,##0;&quot;($&quot;#,##0\);\-"/>
    <numFmt numFmtId="184" formatCode="0.0%;\(0.0%\);\-"/>
    <numFmt numFmtId="185" formatCode="0.0&quot; months&quot;"/>
    <numFmt numFmtId="186" formatCode="&quot;Year &quot;0"/>
    <numFmt numFmtId="187" formatCode="0.000"/>
    <numFmt numFmtId="188" formatCode="0.00%;\(0.00%\);\-"/>
    <numFmt numFmtId="189" formatCode="\$0.0000"/>
    <numFmt numFmtId="190" formatCode="\$0.00;&quot;($&quot;0.00\);\-"/>
    <numFmt numFmtId="191" formatCode="0.0%"/>
  </numFmts>
  <fonts count="9" x14ac:knownFonts="1">
    <font>
      <sz val="10"/>
      <name val="Arial"/>
      <charset val="134"/>
    </font>
    <font>
      <b/>
      <sz val="11"/>
      <color rgb="FF000000"/>
      <name val="Arial"/>
      <charset val="1"/>
    </font>
    <font>
      <sz val="11"/>
      <name val="Arial"/>
      <charset val="1"/>
    </font>
    <font>
      <sz val="10"/>
      <name val="Arial"/>
      <family val="2"/>
    </font>
    <font>
      <sz val="11"/>
      <name val="Calibri"/>
      <charset val="1"/>
    </font>
    <font>
      <sz val="9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2">
    <xf numFmtId="0" fontId="0" fillId="0" borderId="0" xfId="0"/>
    <xf numFmtId="0" fontId="2" fillId="0" borderId="0" xfId="1" applyFont="1"/>
    <xf numFmtId="0" fontId="1" fillId="0" borderId="0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183" fontId="7" fillId="0" borderId="0" xfId="1" applyNumberFormat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188" fontId="7" fillId="0" borderId="0" xfId="1" applyNumberFormat="1" applyFont="1" applyBorder="1" applyAlignment="1">
      <alignment horizontal="center" vertical="center" wrapText="1"/>
    </xf>
    <xf numFmtId="184" fontId="7" fillId="0" borderId="0" xfId="1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185" fontId="7" fillId="0" borderId="8" xfId="1" applyNumberFormat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83" fontId="7" fillId="0" borderId="1" xfId="1" applyNumberFormat="1" applyFont="1" applyBorder="1" applyAlignment="1">
      <alignment horizontal="center" vertical="center" wrapText="1"/>
    </xf>
    <xf numFmtId="184" fontId="7" fillId="0" borderId="1" xfId="1" applyNumberFormat="1" applyFont="1" applyBorder="1" applyAlignment="1">
      <alignment horizontal="center" vertical="center" wrapText="1"/>
    </xf>
    <xf numFmtId="185" fontId="7" fillId="0" borderId="1" xfId="1" applyNumberFormat="1" applyFont="1" applyBorder="1" applyAlignment="1">
      <alignment horizontal="center" vertical="center" wrapText="1"/>
    </xf>
    <xf numFmtId="185" fontId="7" fillId="0" borderId="2" xfId="1" applyNumberFormat="1" applyFont="1" applyBorder="1" applyAlignment="1">
      <alignment horizontal="center" vertical="center" wrapText="1"/>
    </xf>
    <xf numFmtId="183" fontId="7" fillId="0" borderId="8" xfId="1" applyNumberFormat="1" applyFont="1" applyBorder="1" applyAlignment="1">
      <alignment horizontal="center" vertical="center" wrapText="1"/>
    </xf>
    <xf numFmtId="184" fontId="7" fillId="0" borderId="8" xfId="1" applyNumberFormat="1" applyFont="1" applyBorder="1" applyAlignment="1">
      <alignment horizontal="center" vertical="center" wrapText="1"/>
    </xf>
    <xf numFmtId="185" fontId="7" fillId="0" borderId="10" xfId="1" applyNumberFormat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0" xfId="1" applyFont="1" applyBorder="1" applyAlignment="1">
      <alignment vertical="center" wrapText="1"/>
    </xf>
    <xf numFmtId="0" fontId="7" fillId="2" borderId="1" xfId="1" applyFont="1" applyFill="1" applyBorder="1" applyAlignment="1">
      <alignment horizontal="center" vertical="center" wrapText="1"/>
    </xf>
    <xf numFmtId="184" fontId="7" fillId="2" borderId="1" xfId="1" applyNumberFormat="1" applyFont="1" applyFill="1" applyBorder="1" applyAlignment="1">
      <alignment horizontal="center" vertical="center" wrapText="1"/>
    </xf>
    <xf numFmtId="188" fontId="7" fillId="2" borderId="1" xfId="1" applyNumberFormat="1" applyFont="1" applyFill="1" applyBorder="1" applyAlignment="1">
      <alignment horizontal="center" vertical="center" wrapText="1"/>
    </xf>
    <xf numFmtId="188" fontId="7" fillId="0" borderId="1" xfId="1" applyNumberFormat="1" applyFont="1" applyBorder="1" applyAlignment="1">
      <alignment horizontal="center" vertical="center" wrapText="1"/>
    </xf>
    <xf numFmtId="183" fontId="7" fillId="2" borderId="1" xfId="1" applyNumberFormat="1" applyFont="1" applyFill="1" applyBorder="1" applyAlignment="1">
      <alignment horizontal="center" vertical="center" wrapText="1"/>
    </xf>
    <xf numFmtId="189" fontId="7" fillId="2" borderId="1" xfId="1" applyNumberFormat="1" applyFont="1" applyFill="1" applyBorder="1" applyAlignment="1">
      <alignment horizontal="center" vertical="center" wrapText="1"/>
    </xf>
    <xf numFmtId="190" fontId="7" fillId="2" borderId="1" xfId="1" applyNumberFormat="1" applyFont="1" applyFill="1" applyBorder="1" applyAlignment="1">
      <alignment horizontal="center" vertical="center" wrapText="1"/>
    </xf>
    <xf numFmtId="187" fontId="7" fillId="2" borderId="1" xfId="1" applyNumberFormat="1" applyFont="1" applyFill="1" applyBorder="1" applyAlignment="1">
      <alignment horizontal="center" vertical="center" wrapText="1"/>
    </xf>
    <xf numFmtId="190" fontId="7" fillId="0" borderId="1" xfId="1" applyNumberFormat="1" applyFont="1" applyBorder="1" applyAlignment="1">
      <alignment horizontal="center" vertical="center" wrapText="1"/>
    </xf>
    <xf numFmtId="3" fontId="7" fillId="2" borderId="1" xfId="1" applyNumberFormat="1" applyFont="1" applyFill="1" applyBorder="1" applyAlignment="1">
      <alignment horizontal="center" vertical="center" wrapText="1"/>
    </xf>
    <xf numFmtId="191" fontId="7" fillId="2" borderId="1" xfId="1" applyNumberFormat="1" applyFont="1" applyFill="1" applyBorder="1" applyAlignment="1">
      <alignment horizontal="center" vertical="center" wrapText="1"/>
    </xf>
    <xf numFmtId="191" fontId="6" fillId="2" borderId="1" xfId="1" applyNumberFormat="1" applyFont="1" applyFill="1" applyBorder="1" applyAlignment="1">
      <alignment horizontal="center" vertical="center" wrapText="1"/>
    </xf>
    <xf numFmtId="183" fontId="6" fillId="0" borderId="1" xfId="1" applyNumberFormat="1" applyFont="1" applyBorder="1" applyAlignment="1">
      <alignment horizontal="center" vertical="center" wrapText="1"/>
    </xf>
    <xf numFmtId="0" fontId="8" fillId="0" borderId="0" xfId="1" applyFont="1"/>
    <xf numFmtId="186" fontId="6" fillId="0" borderId="1" xfId="1" applyNumberFormat="1" applyFont="1" applyBorder="1" applyAlignment="1">
      <alignment horizontal="center" vertical="center" wrapText="1"/>
    </xf>
    <xf numFmtId="183" fontId="8" fillId="0" borderId="0" xfId="1" applyNumberFormat="1" applyFont="1"/>
    <xf numFmtId="187" fontId="6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81" fontId="7" fillId="2" borderId="1" xfId="1" applyNumberFormat="1" applyFont="1" applyFill="1" applyBorder="1" applyAlignment="1">
      <alignment horizontal="center" vertical="center" wrapText="1"/>
    </xf>
    <xf numFmtId="182" fontId="7" fillId="0" borderId="1" xfId="1" applyNumberFormat="1" applyFont="1" applyBorder="1" applyAlignment="1">
      <alignment horizontal="center" vertical="center" wrapText="1"/>
    </xf>
    <xf numFmtId="182" fontId="7" fillId="2" borderId="1" xfId="1" applyNumberFormat="1" applyFont="1" applyFill="1" applyBorder="1" applyAlignment="1">
      <alignment horizontal="center" vertical="center" wrapText="1"/>
    </xf>
    <xf numFmtId="183" fontId="7" fillId="0" borderId="1" xfId="1" applyNumberFormat="1" applyFont="1" applyBorder="1" applyAlignment="1">
      <alignment horizontal="center" vertical="center" wrapText="1"/>
    </xf>
    <xf numFmtId="178" fontId="7" fillId="0" borderId="1" xfId="1" applyNumberFormat="1" applyFont="1" applyBorder="1" applyAlignment="1">
      <alignment horizontal="center" vertical="center" wrapText="1"/>
    </xf>
    <xf numFmtId="179" fontId="7" fillId="0" borderId="1" xfId="1" applyNumberFormat="1" applyFont="1" applyBorder="1" applyAlignment="1">
      <alignment horizontal="center" vertical="center" wrapText="1"/>
    </xf>
    <xf numFmtId="180" fontId="7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15" zoomScaleNormal="115" workbookViewId="0">
      <selection activeCell="B23" sqref="B23:F23"/>
    </sheetView>
  </sheetViews>
  <sheetFormatPr defaultColWidth="8.6640625" defaultRowHeight="13.2" x14ac:dyDescent="0.25"/>
  <cols>
    <col min="1" max="1" width="27" customWidth="1"/>
    <col min="2" max="2" width="22" customWidth="1"/>
    <col min="3" max="3" width="33" customWidth="1"/>
    <col min="4" max="4" width="51" customWidth="1"/>
    <col min="5" max="5" width="18" customWidth="1"/>
    <col min="6" max="6" width="20" customWidth="1"/>
  </cols>
  <sheetData>
    <row r="1" spans="1:6" ht="13.8" x14ac:dyDescent="0.25">
      <c r="A1" s="26" t="s">
        <v>0</v>
      </c>
      <c r="B1" s="26"/>
      <c r="C1" s="26"/>
      <c r="D1" s="26"/>
      <c r="E1" s="26"/>
      <c r="F1" s="26"/>
    </row>
    <row r="2" spans="1:6" ht="13.8" x14ac:dyDescent="0.25">
      <c r="A2" s="1"/>
      <c r="B2" s="1"/>
      <c r="C2" s="1"/>
      <c r="D2" s="1"/>
      <c r="E2" s="1"/>
      <c r="F2" s="1"/>
    </row>
    <row r="3" spans="1:6" ht="13.8" x14ac:dyDescent="0.25">
      <c r="A3" s="1"/>
      <c r="B3" s="1"/>
      <c r="C3" s="1"/>
      <c r="D3" s="1"/>
      <c r="E3" s="1"/>
      <c r="F3" s="1"/>
    </row>
    <row r="4" spans="1:6" ht="15" customHeight="1" x14ac:dyDescent="0.25">
      <c r="A4" s="2" t="s">
        <v>1</v>
      </c>
      <c r="B4" s="2"/>
      <c r="C4" s="2"/>
      <c r="D4" s="2"/>
      <c r="E4" s="2"/>
      <c r="F4" s="2"/>
    </row>
    <row r="5" spans="1:6" ht="15" customHeight="1" x14ac:dyDescent="0.25">
      <c r="A5" s="3" t="s">
        <v>2</v>
      </c>
      <c r="B5" s="4" t="s">
        <v>3</v>
      </c>
      <c r="C5" s="4" t="s">
        <v>4</v>
      </c>
      <c r="D5" s="5" t="s">
        <v>5</v>
      </c>
      <c r="E5" s="1"/>
      <c r="F5" s="1"/>
    </row>
    <row r="6" spans="1:6" ht="15" customHeight="1" x14ac:dyDescent="0.25">
      <c r="A6" s="6" t="s">
        <v>6</v>
      </c>
      <c r="B6" s="7">
        <f>Assumptions!C31</f>
        <v>98125</v>
      </c>
      <c r="C6" s="8" t="s">
        <v>7</v>
      </c>
      <c r="D6" s="9" t="s">
        <v>8</v>
      </c>
      <c r="E6" s="1"/>
      <c r="F6" s="1"/>
    </row>
    <row r="7" spans="1:6" ht="15" customHeight="1" x14ac:dyDescent="0.25">
      <c r="A7" s="6" t="s">
        <v>9</v>
      </c>
      <c r="B7" s="10">
        <f>Assumptions!C10</f>
        <v>7.7499999999999999E-2</v>
      </c>
      <c r="C7" s="8" t="s">
        <v>10</v>
      </c>
      <c r="D7" s="9" t="s">
        <v>11</v>
      </c>
      <c r="E7" s="1"/>
      <c r="F7" s="1"/>
    </row>
    <row r="8" spans="1:6" ht="13.8" x14ac:dyDescent="0.25">
      <c r="A8" s="6" t="s">
        <v>12</v>
      </c>
      <c r="B8" s="7">
        <f>'Cash Flow'!B29</f>
        <v>561510.67887105595</v>
      </c>
      <c r="C8" s="8" t="s">
        <v>13</v>
      </c>
      <c r="D8" s="9" t="s">
        <v>14</v>
      </c>
      <c r="E8" s="1"/>
      <c r="F8" s="1"/>
    </row>
    <row r="9" spans="1:6" ht="15" customHeight="1" x14ac:dyDescent="0.25">
      <c r="A9" s="6" t="s">
        <v>15</v>
      </c>
      <c r="B9" s="11">
        <f>'Cash Flow'!B30</f>
        <v>1.58696431642502</v>
      </c>
      <c r="C9" s="8" t="s">
        <v>16</v>
      </c>
      <c r="D9" s="9" t="s">
        <v>17</v>
      </c>
      <c r="E9" s="1"/>
      <c r="F9" s="1"/>
    </row>
    <row r="10" spans="1:6" ht="15" customHeight="1" x14ac:dyDescent="0.25">
      <c r="A10" s="6" t="s">
        <v>18</v>
      </c>
      <c r="B10" s="8" t="str">
        <f>'Cash Flow'!B31</f>
        <v>Year 1</v>
      </c>
      <c r="C10" s="8" t="s">
        <v>19</v>
      </c>
      <c r="D10" s="9" t="s">
        <v>20</v>
      </c>
      <c r="E10" s="1"/>
      <c r="F10" s="1"/>
    </row>
    <row r="11" spans="1:6" ht="13.8" x14ac:dyDescent="0.25">
      <c r="A11" s="12" t="s">
        <v>21</v>
      </c>
      <c r="B11" s="13">
        <f>'Cash Flow'!B32</f>
        <v>7.6343879875936196</v>
      </c>
      <c r="C11" s="14" t="s">
        <v>22</v>
      </c>
      <c r="D11" s="15" t="s">
        <v>23</v>
      </c>
      <c r="E11" s="1"/>
      <c r="F11" s="1"/>
    </row>
    <row r="12" spans="1:6" ht="13.8" x14ac:dyDescent="0.25">
      <c r="A12" s="1"/>
      <c r="B12" s="1"/>
      <c r="C12" s="1"/>
      <c r="D12" s="1"/>
      <c r="E12" s="1"/>
      <c r="F12" s="1"/>
    </row>
    <row r="13" spans="1:6" ht="13.8" x14ac:dyDescent="0.25">
      <c r="A13" s="1"/>
      <c r="B13" s="1"/>
      <c r="C13" s="1"/>
      <c r="D13" s="1"/>
      <c r="E13" s="1"/>
      <c r="F13" s="1"/>
    </row>
    <row r="14" spans="1:6" ht="15" customHeight="1" x14ac:dyDescent="0.25">
      <c r="A14" s="26" t="s">
        <v>24</v>
      </c>
      <c r="B14" s="26"/>
      <c r="C14" s="26"/>
      <c r="D14" s="26"/>
      <c r="E14" s="26"/>
      <c r="F14" s="26"/>
    </row>
    <row r="15" spans="1:6" ht="15" customHeight="1" x14ac:dyDescent="0.25">
      <c r="A15" s="3" t="s">
        <v>25</v>
      </c>
      <c r="B15" s="4" t="s">
        <v>12</v>
      </c>
      <c r="C15" s="4" t="s">
        <v>26</v>
      </c>
      <c r="D15" s="4" t="s">
        <v>15</v>
      </c>
      <c r="E15" s="4" t="s">
        <v>18</v>
      </c>
      <c r="F15" s="5" t="s">
        <v>27</v>
      </c>
    </row>
    <row r="16" spans="1:6" ht="15" customHeight="1" x14ac:dyDescent="0.25">
      <c r="A16" s="6" t="str">
        <f>Sensitivity!A6</f>
        <v>Base</v>
      </c>
      <c r="B16" s="7">
        <f>Sensitivity!E6</f>
        <v>561510.67887105595</v>
      </c>
      <c r="C16" s="7">
        <f>Sensitivity!F6</f>
        <v>0</v>
      </c>
      <c r="D16" s="11">
        <f>Sensitivity!G6</f>
        <v>1.58696431642502</v>
      </c>
      <c r="E16" s="8" t="str">
        <f>Sensitivity!H6</f>
        <v>Year 1</v>
      </c>
      <c r="F16" s="22">
        <f>Sensitivity!I6</f>
        <v>7.6343879875936196</v>
      </c>
    </row>
    <row r="17" spans="1:6" ht="15" customHeight="1" x14ac:dyDescent="0.25">
      <c r="A17" s="6" t="str">
        <f>Sensitivity!A7</f>
        <v>Hardware cost +20%</v>
      </c>
      <c r="B17" s="7">
        <f>Sensitivity!E7</f>
        <v>540090.76980728598</v>
      </c>
      <c r="C17" s="7">
        <f>Sensitivity!F7</f>
        <v>-21419.909063770301</v>
      </c>
      <c r="D17" s="11">
        <f>Sensitivity!G7</f>
        <v>1.31294257563379</v>
      </c>
      <c r="E17" s="8" t="str">
        <f>Sensitivity!H7</f>
        <v>Year 1</v>
      </c>
      <c r="F17" s="22">
        <f>Sensitivity!I7</f>
        <v>9.1985401202489907</v>
      </c>
    </row>
    <row r="18" spans="1:6" ht="13.8" x14ac:dyDescent="0.25">
      <c r="A18" s="12" t="str">
        <f>Sensitivity!A8</f>
        <v>Useful life reduced to 3 years</v>
      </c>
      <c r="B18" s="23">
        <f>Sensitivity!E8</f>
        <v>317646.83212963003</v>
      </c>
      <c r="C18" s="23">
        <f>Sensitivity!F8</f>
        <v>-243863.84674142601</v>
      </c>
      <c r="D18" s="24">
        <f>Sensitivity!G8</f>
        <v>1.4975911761368801</v>
      </c>
      <c r="E18" s="14" t="str">
        <f>Sensitivity!H8</f>
        <v>Year 1</v>
      </c>
      <c r="F18" s="25">
        <f>Sensitivity!I8</f>
        <v>7.6343879875936196</v>
      </c>
    </row>
    <row r="19" spans="1:6" ht="13.8" x14ac:dyDescent="0.25">
      <c r="A19" s="1"/>
      <c r="B19" s="1"/>
      <c r="C19" s="1"/>
      <c r="D19" s="1"/>
      <c r="E19" s="1"/>
      <c r="F19" s="1"/>
    </row>
    <row r="20" spans="1:6" ht="13.8" x14ac:dyDescent="0.25">
      <c r="A20" s="1"/>
      <c r="B20" s="1"/>
      <c r="C20" s="1"/>
      <c r="D20" s="1"/>
      <c r="E20" s="1"/>
      <c r="F20" s="1"/>
    </row>
    <row r="21" spans="1:6" ht="15" customHeight="1" x14ac:dyDescent="0.25">
      <c r="A21" s="27" t="s">
        <v>28</v>
      </c>
      <c r="B21" s="28"/>
      <c r="C21" s="28"/>
      <c r="D21" s="28"/>
      <c r="E21" s="28"/>
      <c r="F21" s="29"/>
    </row>
    <row r="22" spans="1:6" ht="13.8" x14ac:dyDescent="0.25">
      <c r="A22" s="30" t="s">
        <v>29</v>
      </c>
      <c r="B22" s="31" t="str">
        <f>Sensitivity!B19</f>
        <v>Useful life reduced to 3 years</v>
      </c>
      <c r="C22" s="31"/>
      <c r="D22" s="31"/>
      <c r="E22" s="31"/>
      <c r="F22" s="32"/>
    </row>
    <row r="23" spans="1:6" ht="13.8" x14ac:dyDescent="0.25">
      <c r="A23" s="12" t="s">
        <v>30</v>
      </c>
      <c r="B23" s="33" t="s">
        <v>31</v>
      </c>
      <c r="C23" s="33"/>
      <c r="D23" s="33"/>
      <c r="E23" s="33"/>
      <c r="F23" s="34"/>
    </row>
  </sheetData>
  <mergeCells count="6">
    <mergeCell ref="B23:F23"/>
    <mergeCell ref="A1:F1"/>
    <mergeCell ref="A4:F4"/>
    <mergeCell ref="A14:F14"/>
    <mergeCell ref="A21:F21"/>
    <mergeCell ref="B22:F22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I25" sqref="I25"/>
    </sheetView>
  </sheetViews>
  <sheetFormatPr defaultColWidth="8.6640625" defaultRowHeight="13.2" x14ac:dyDescent="0.25"/>
  <cols>
    <col min="1" max="1" width="18" customWidth="1"/>
    <col min="2" max="2" width="31" customWidth="1"/>
    <col min="3" max="3" width="16" customWidth="1"/>
    <col min="4" max="4" width="17" customWidth="1"/>
    <col min="5" max="5" width="20" customWidth="1"/>
    <col min="6" max="6" width="13" customWidth="1"/>
    <col min="7" max="7" width="55" customWidth="1"/>
  </cols>
  <sheetData>
    <row r="1" spans="1:7" ht="13.8" x14ac:dyDescent="0.25">
      <c r="A1" s="26" t="s">
        <v>32</v>
      </c>
      <c r="B1" s="26"/>
      <c r="C1" s="26"/>
      <c r="D1" s="26"/>
      <c r="E1" s="26"/>
      <c r="F1" s="26"/>
      <c r="G1" s="26"/>
    </row>
    <row r="2" spans="1:7" ht="13.8" x14ac:dyDescent="0.25">
      <c r="A2" s="1"/>
      <c r="B2" s="1"/>
      <c r="C2" s="1"/>
      <c r="D2" s="1"/>
      <c r="E2" s="1"/>
      <c r="F2" s="1"/>
      <c r="G2" s="1"/>
    </row>
    <row r="3" spans="1:7" ht="15" customHeight="1" x14ac:dyDescent="0.25">
      <c r="A3" s="35"/>
      <c r="B3" s="35"/>
      <c r="C3" s="35"/>
      <c r="D3" s="35"/>
      <c r="E3" s="35"/>
      <c r="F3" s="35"/>
      <c r="G3" s="35"/>
    </row>
    <row r="4" spans="1:7" ht="13.8" x14ac:dyDescent="0.25">
      <c r="A4" s="1"/>
      <c r="B4" s="1"/>
      <c r="C4" s="1"/>
      <c r="D4" s="1"/>
      <c r="E4" s="1"/>
      <c r="F4" s="1"/>
      <c r="G4" s="1"/>
    </row>
    <row r="5" spans="1:7" ht="15" customHeight="1" x14ac:dyDescent="0.25">
      <c r="A5" s="17" t="s">
        <v>33</v>
      </c>
      <c r="B5" s="17" t="s">
        <v>34</v>
      </c>
      <c r="C5" s="17" t="s">
        <v>3</v>
      </c>
      <c r="D5" s="17" t="s">
        <v>35</v>
      </c>
      <c r="E5" s="17" t="s">
        <v>36</v>
      </c>
      <c r="F5" s="17" t="s">
        <v>37</v>
      </c>
      <c r="G5" s="17" t="s">
        <v>38</v>
      </c>
    </row>
    <row r="6" spans="1:7" ht="27.6" x14ac:dyDescent="0.25">
      <c r="A6" s="18" t="s">
        <v>39</v>
      </c>
      <c r="B6" s="18" t="s">
        <v>40</v>
      </c>
      <c r="C6" s="36">
        <v>5</v>
      </c>
      <c r="D6" s="18" t="s">
        <v>41</v>
      </c>
      <c r="E6" s="18" t="s">
        <v>42</v>
      </c>
      <c r="F6" s="18" t="s">
        <v>43</v>
      </c>
      <c r="G6" s="18" t="s">
        <v>44</v>
      </c>
    </row>
    <row r="7" spans="1:7" ht="15" customHeight="1" x14ac:dyDescent="0.25">
      <c r="A7" s="18" t="s">
        <v>39</v>
      </c>
      <c r="B7" s="18" t="s">
        <v>45</v>
      </c>
      <c r="C7" s="37">
        <v>0.03</v>
      </c>
      <c r="D7" s="18" t="s">
        <v>46</v>
      </c>
      <c r="E7" s="18" t="s">
        <v>47</v>
      </c>
      <c r="F7" s="18" t="s">
        <v>48</v>
      </c>
      <c r="G7" s="18" t="s">
        <v>49</v>
      </c>
    </row>
    <row r="8" spans="1:7" ht="15" customHeight="1" x14ac:dyDescent="0.25">
      <c r="A8" s="18" t="s">
        <v>9</v>
      </c>
      <c r="B8" s="18" t="s">
        <v>50</v>
      </c>
      <c r="C8" s="38">
        <v>4.7500000000000001E-2</v>
      </c>
      <c r="D8" s="18" t="s">
        <v>51</v>
      </c>
      <c r="E8" s="18" t="s">
        <v>52</v>
      </c>
      <c r="F8" s="18" t="s">
        <v>53</v>
      </c>
      <c r="G8" s="18" t="s">
        <v>54</v>
      </c>
    </row>
    <row r="9" spans="1:7" ht="15" customHeight="1" x14ac:dyDescent="0.25">
      <c r="A9" s="18" t="s">
        <v>9</v>
      </c>
      <c r="B9" s="18" t="s">
        <v>55</v>
      </c>
      <c r="C9" s="38">
        <v>0.03</v>
      </c>
      <c r="D9" s="18" t="s">
        <v>51</v>
      </c>
      <c r="E9" s="18" t="s">
        <v>42</v>
      </c>
      <c r="F9" s="18" t="s">
        <v>43</v>
      </c>
      <c r="G9" s="18" t="s">
        <v>56</v>
      </c>
    </row>
    <row r="10" spans="1:7" ht="15" customHeight="1" x14ac:dyDescent="0.25">
      <c r="A10" s="18" t="s">
        <v>9</v>
      </c>
      <c r="B10" s="18" t="s">
        <v>57</v>
      </c>
      <c r="C10" s="39">
        <f>Assumptions!C8+Assumptions!C9</f>
        <v>7.7499999999999999E-2</v>
      </c>
      <c r="D10" s="18" t="s">
        <v>51</v>
      </c>
      <c r="E10" s="18" t="s">
        <v>58</v>
      </c>
      <c r="F10" s="18" t="s">
        <v>59</v>
      </c>
      <c r="G10" s="18" t="s">
        <v>60</v>
      </c>
    </row>
    <row r="11" spans="1:7" ht="15" customHeight="1" x14ac:dyDescent="0.25">
      <c r="A11" s="18"/>
      <c r="B11" s="18"/>
      <c r="C11" s="18"/>
      <c r="D11" s="18"/>
      <c r="E11" s="18"/>
      <c r="F11" s="18"/>
      <c r="G11" s="18"/>
    </row>
    <row r="12" spans="1:7" ht="15" customHeight="1" x14ac:dyDescent="0.25">
      <c r="A12" s="18" t="s">
        <v>61</v>
      </c>
      <c r="B12" s="18" t="s">
        <v>62</v>
      </c>
      <c r="C12" s="40">
        <v>62500</v>
      </c>
      <c r="D12" s="18" t="s">
        <v>63</v>
      </c>
      <c r="E12" s="18" t="s">
        <v>47</v>
      </c>
      <c r="F12" s="18" t="s">
        <v>64</v>
      </c>
      <c r="G12" s="18" t="s">
        <v>65</v>
      </c>
    </row>
    <row r="13" spans="1:7" ht="15" customHeight="1" x14ac:dyDescent="0.25">
      <c r="A13" s="18" t="s">
        <v>61</v>
      </c>
      <c r="B13" s="18" t="s">
        <v>66</v>
      </c>
      <c r="C13" s="37">
        <v>0.05</v>
      </c>
      <c r="D13" s="18" t="s">
        <v>67</v>
      </c>
      <c r="E13" s="18" t="s">
        <v>47</v>
      </c>
      <c r="F13" s="18" t="s">
        <v>48</v>
      </c>
      <c r="G13" s="18" t="s">
        <v>68</v>
      </c>
    </row>
    <row r="14" spans="1:7" ht="15" customHeight="1" x14ac:dyDescent="0.25">
      <c r="A14" s="18" t="s">
        <v>61</v>
      </c>
      <c r="B14" s="18" t="s">
        <v>69</v>
      </c>
      <c r="C14" s="37">
        <v>0.16</v>
      </c>
      <c r="D14" s="18" t="s">
        <v>67</v>
      </c>
      <c r="E14" s="18" t="s">
        <v>47</v>
      </c>
      <c r="F14" s="18" t="s">
        <v>48</v>
      </c>
      <c r="G14" s="18" t="s">
        <v>68</v>
      </c>
    </row>
    <row r="15" spans="1:7" ht="15" customHeight="1" x14ac:dyDescent="0.25">
      <c r="A15" s="18" t="s">
        <v>61</v>
      </c>
      <c r="B15" s="18" t="s">
        <v>70</v>
      </c>
      <c r="C15" s="37">
        <v>0.08</v>
      </c>
      <c r="D15" s="18" t="s">
        <v>67</v>
      </c>
      <c r="E15" s="18" t="s">
        <v>47</v>
      </c>
      <c r="F15" s="18" t="s">
        <v>48</v>
      </c>
      <c r="G15" s="18" t="s">
        <v>68</v>
      </c>
    </row>
    <row r="16" spans="1:7" ht="15" customHeight="1" x14ac:dyDescent="0.25">
      <c r="A16" s="18" t="s">
        <v>61</v>
      </c>
      <c r="B16" s="18" t="s">
        <v>71</v>
      </c>
      <c r="C16" s="37">
        <v>0.2</v>
      </c>
      <c r="D16" s="18" t="s">
        <v>67</v>
      </c>
      <c r="E16" s="18" t="s">
        <v>47</v>
      </c>
      <c r="F16" s="18" t="s">
        <v>48</v>
      </c>
      <c r="G16" s="18" t="s">
        <v>68</v>
      </c>
    </row>
    <row r="17" spans="1:7" ht="15" customHeight="1" x14ac:dyDescent="0.25">
      <c r="A17" s="18" t="s">
        <v>61</v>
      </c>
      <c r="B17" s="18" t="s">
        <v>72</v>
      </c>
      <c r="C17" s="37">
        <v>0.08</v>
      </c>
      <c r="D17" s="18" t="s">
        <v>67</v>
      </c>
      <c r="E17" s="18" t="s">
        <v>47</v>
      </c>
      <c r="F17" s="18" t="s">
        <v>48</v>
      </c>
      <c r="G17" s="18" t="s">
        <v>68</v>
      </c>
    </row>
    <row r="18" spans="1:7" ht="31.5" customHeight="1" x14ac:dyDescent="0.25">
      <c r="A18" s="18" t="s">
        <v>73</v>
      </c>
      <c r="B18" s="18" t="s">
        <v>74</v>
      </c>
      <c r="C18" s="40">
        <v>12500</v>
      </c>
      <c r="D18" s="18" t="s">
        <v>75</v>
      </c>
      <c r="E18" s="18" t="s">
        <v>47</v>
      </c>
      <c r="F18" s="18" t="s">
        <v>48</v>
      </c>
      <c r="G18" s="18" t="s">
        <v>76</v>
      </c>
    </row>
    <row r="19" spans="1:7" ht="15" customHeight="1" x14ac:dyDescent="0.25">
      <c r="A19" s="18" t="s">
        <v>73</v>
      </c>
      <c r="B19" s="18" t="s">
        <v>77</v>
      </c>
      <c r="C19" s="36">
        <v>3</v>
      </c>
      <c r="D19" s="18" t="s">
        <v>78</v>
      </c>
      <c r="E19" s="18" t="s">
        <v>47</v>
      </c>
      <c r="F19" s="18" t="s">
        <v>48</v>
      </c>
      <c r="G19" s="18" t="s">
        <v>79</v>
      </c>
    </row>
    <row r="20" spans="1:7" ht="15" customHeight="1" x14ac:dyDescent="0.25">
      <c r="A20" s="18" t="s">
        <v>73</v>
      </c>
      <c r="B20" s="18" t="s">
        <v>80</v>
      </c>
      <c r="C20" s="36">
        <v>365</v>
      </c>
      <c r="D20" s="18" t="s">
        <v>81</v>
      </c>
      <c r="E20" s="18" t="s">
        <v>42</v>
      </c>
      <c r="F20" s="18" t="s">
        <v>48</v>
      </c>
      <c r="G20" s="18" t="s">
        <v>82</v>
      </c>
    </row>
    <row r="21" spans="1:7" ht="15" customHeight="1" x14ac:dyDescent="0.25">
      <c r="A21" s="18" t="s">
        <v>73</v>
      </c>
      <c r="B21" s="18" t="s">
        <v>83</v>
      </c>
      <c r="C21" s="41">
        <v>0.1341</v>
      </c>
      <c r="D21" s="18" t="s">
        <v>84</v>
      </c>
      <c r="E21" s="18" t="s">
        <v>52</v>
      </c>
      <c r="F21" s="18" t="s">
        <v>85</v>
      </c>
      <c r="G21" s="18" t="s">
        <v>86</v>
      </c>
    </row>
    <row r="22" spans="1:7" ht="15" customHeight="1" x14ac:dyDescent="0.25">
      <c r="A22" s="18" t="s">
        <v>73</v>
      </c>
      <c r="B22" s="18" t="s">
        <v>87</v>
      </c>
      <c r="C22" s="37">
        <v>0.05</v>
      </c>
      <c r="D22" s="18" t="s">
        <v>88</v>
      </c>
      <c r="E22" s="18" t="s">
        <v>42</v>
      </c>
      <c r="F22" s="18" t="s">
        <v>48</v>
      </c>
      <c r="G22" s="18" t="s">
        <v>89</v>
      </c>
    </row>
    <row r="23" spans="1:7" ht="15" customHeight="1" x14ac:dyDescent="0.25">
      <c r="A23" s="18" t="s">
        <v>90</v>
      </c>
      <c r="B23" s="18" t="s">
        <v>91</v>
      </c>
      <c r="C23" s="42">
        <v>20.420000000000002</v>
      </c>
      <c r="D23" s="18" t="s">
        <v>92</v>
      </c>
      <c r="E23" s="18" t="s">
        <v>52</v>
      </c>
      <c r="F23" s="18" t="s">
        <v>93</v>
      </c>
      <c r="G23" s="18" t="s">
        <v>94</v>
      </c>
    </row>
    <row r="24" spans="1:7" ht="27.6" x14ac:dyDescent="0.25">
      <c r="A24" s="18" t="s">
        <v>90</v>
      </c>
      <c r="B24" s="18" t="s">
        <v>95</v>
      </c>
      <c r="C24" s="43">
        <v>1.30192837465565</v>
      </c>
      <c r="D24" s="18" t="s">
        <v>96</v>
      </c>
      <c r="E24" s="18" t="s">
        <v>97</v>
      </c>
      <c r="F24" s="18" t="s">
        <v>93</v>
      </c>
      <c r="G24" s="18" t="s">
        <v>98</v>
      </c>
    </row>
    <row r="25" spans="1:7" ht="15" customHeight="1" x14ac:dyDescent="0.25">
      <c r="A25" s="18" t="s">
        <v>90</v>
      </c>
      <c r="B25" s="18" t="s">
        <v>99</v>
      </c>
      <c r="C25" s="44">
        <f>Assumptions!C23*Assumptions!C24</f>
        <v>26.5853774104684</v>
      </c>
      <c r="D25" s="18" t="s">
        <v>92</v>
      </c>
      <c r="E25" s="18" t="s">
        <v>58</v>
      </c>
      <c r="F25" s="18" t="s">
        <v>93</v>
      </c>
      <c r="G25" s="18" t="s">
        <v>100</v>
      </c>
    </row>
    <row r="26" spans="1:7" ht="15" customHeight="1" x14ac:dyDescent="0.25">
      <c r="A26" s="18" t="s">
        <v>90</v>
      </c>
      <c r="B26" s="18" t="s">
        <v>101</v>
      </c>
      <c r="C26" s="45">
        <v>24</v>
      </c>
      <c r="D26" s="18" t="s">
        <v>102</v>
      </c>
      <c r="E26" s="18" t="s">
        <v>47</v>
      </c>
      <c r="F26" s="18" t="s">
        <v>48</v>
      </c>
      <c r="G26" s="18" t="s">
        <v>103</v>
      </c>
    </row>
    <row r="27" spans="1:7" ht="15" customHeight="1" x14ac:dyDescent="0.25">
      <c r="A27" s="18" t="s">
        <v>90</v>
      </c>
      <c r="B27" s="18" t="s">
        <v>104</v>
      </c>
      <c r="C27" s="46">
        <v>0.25</v>
      </c>
      <c r="D27" s="18" t="s">
        <v>105</v>
      </c>
      <c r="E27" s="18" t="s">
        <v>47</v>
      </c>
      <c r="F27" s="18" t="s">
        <v>48</v>
      </c>
      <c r="G27" s="18" t="s">
        <v>106</v>
      </c>
    </row>
    <row r="28" spans="1:7" ht="15" customHeight="1" x14ac:dyDescent="0.25">
      <c r="A28" s="18" t="s">
        <v>90</v>
      </c>
      <c r="B28" s="18" t="s">
        <v>107</v>
      </c>
      <c r="C28" s="46">
        <v>0.02</v>
      </c>
      <c r="D28" s="18" t="s">
        <v>105</v>
      </c>
      <c r="E28" s="18" t="s">
        <v>47</v>
      </c>
      <c r="F28" s="18" t="s">
        <v>48</v>
      </c>
      <c r="G28" s="18" t="s">
        <v>108</v>
      </c>
    </row>
    <row r="29" spans="1:7" ht="30" customHeight="1" x14ac:dyDescent="0.25">
      <c r="A29" s="17" t="s">
        <v>109</v>
      </c>
      <c r="B29" s="17" t="s">
        <v>110</v>
      </c>
      <c r="C29" s="47">
        <v>0.1</v>
      </c>
      <c r="D29" s="17" t="s">
        <v>67</v>
      </c>
      <c r="E29" s="17" t="s">
        <v>47</v>
      </c>
      <c r="F29" s="17" t="s">
        <v>48</v>
      </c>
      <c r="G29" s="17" t="s">
        <v>111</v>
      </c>
    </row>
    <row r="30" spans="1:7" ht="18" customHeight="1" x14ac:dyDescent="0.25">
      <c r="A30" s="18" t="s">
        <v>112</v>
      </c>
      <c r="B30" s="18" t="s">
        <v>113</v>
      </c>
      <c r="C30" s="19">
        <v>726986.63323557703</v>
      </c>
      <c r="D30" s="18" t="s">
        <v>63</v>
      </c>
      <c r="E30" s="18" t="s">
        <v>114</v>
      </c>
      <c r="F30" s="18" t="s">
        <v>48</v>
      </c>
      <c r="G30" s="18" t="s">
        <v>115</v>
      </c>
    </row>
    <row r="31" spans="1:7" ht="27.6" x14ac:dyDescent="0.25">
      <c r="A31" s="17" t="s">
        <v>116</v>
      </c>
      <c r="B31" s="17" t="s">
        <v>6</v>
      </c>
      <c r="C31" s="48">
        <f>Assumptions!C12*(1+SUM(Assumptions!C13:C17))</f>
        <v>98125</v>
      </c>
      <c r="D31" s="17" t="s">
        <v>63</v>
      </c>
      <c r="E31" s="17" t="s">
        <v>58</v>
      </c>
      <c r="F31" s="17" t="s">
        <v>48</v>
      </c>
      <c r="G31" s="17" t="s">
        <v>117</v>
      </c>
    </row>
  </sheetData>
  <mergeCells count="1">
    <mergeCell ref="A1:G1"/>
  </mergeCells>
  <phoneticPr fontId="5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>
      <selection activeCell="J19" sqref="J19"/>
    </sheetView>
  </sheetViews>
  <sheetFormatPr defaultColWidth="8.6640625" defaultRowHeight="13.2" x14ac:dyDescent="0.25"/>
  <cols>
    <col min="1" max="1" width="38" customWidth="1"/>
    <col min="2" max="7" width="18" customWidth="1"/>
  </cols>
  <sheetData>
    <row r="1" spans="1:7" ht="13.8" x14ac:dyDescent="0.25">
      <c r="A1" s="26" t="s">
        <v>118</v>
      </c>
      <c r="B1" s="26"/>
      <c r="C1" s="26"/>
      <c r="D1" s="26"/>
      <c r="E1" s="26"/>
      <c r="F1" s="26"/>
      <c r="G1" s="26"/>
    </row>
    <row r="2" spans="1:7" ht="13.8" x14ac:dyDescent="0.25">
      <c r="A2" s="49"/>
      <c r="B2" s="49"/>
      <c r="C2" s="49"/>
      <c r="D2" s="49"/>
      <c r="E2" s="49"/>
      <c r="F2" s="49"/>
      <c r="G2" s="49"/>
    </row>
    <row r="3" spans="1:7" ht="13.8" x14ac:dyDescent="0.25">
      <c r="A3" s="49"/>
      <c r="B3" s="49"/>
      <c r="C3" s="49"/>
      <c r="D3" s="49"/>
      <c r="E3" s="49"/>
      <c r="F3" s="49"/>
      <c r="G3" s="49"/>
    </row>
    <row r="4" spans="1:7" ht="15" customHeight="1" x14ac:dyDescent="0.25">
      <c r="A4" s="17" t="s">
        <v>119</v>
      </c>
      <c r="B4" s="50">
        <v>0</v>
      </c>
      <c r="C4" s="50">
        <v>1</v>
      </c>
      <c r="D4" s="50">
        <v>2</v>
      </c>
      <c r="E4" s="50">
        <v>3</v>
      </c>
      <c r="F4" s="50">
        <v>4</v>
      </c>
      <c r="G4" s="50">
        <v>5</v>
      </c>
    </row>
    <row r="5" spans="1:7" ht="15" customHeight="1" x14ac:dyDescent="0.25">
      <c r="A5" s="16" t="s">
        <v>6</v>
      </c>
      <c r="B5" s="16"/>
      <c r="C5" s="16"/>
      <c r="D5" s="16"/>
      <c r="E5" s="16"/>
      <c r="F5" s="16"/>
      <c r="G5" s="16"/>
    </row>
    <row r="6" spans="1:7" ht="15" customHeight="1" x14ac:dyDescent="0.25">
      <c r="A6" s="18" t="s">
        <v>120</v>
      </c>
      <c r="B6" s="19">
        <f>-IF(B$4=0,Assumptions!$C$12,0)</f>
        <v>-62500</v>
      </c>
      <c r="C6" s="19">
        <f>-IF(C$4=0,Assumptions!$C$12,0)</f>
        <v>0</v>
      </c>
      <c r="D6" s="19">
        <f>-IF(D$4=0,Assumptions!$C$12,0)</f>
        <v>0</v>
      </c>
      <c r="E6" s="19">
        <f>-IF(E$4=0,Assumptions!$C$12,0)</f>
        <v>0</v>
      </c>
      <c r="F6" s="19">
        <f>-IF(F$4=0,Assumptions!$C$12,0)</f>
        <v>0</v>
      </c>
      <c r="G6" s="19">
        <f>-IF(G$4=0,Assumptions!$C$12,0)</f>
        <v>0</v>
      </c>
    </row>
    <row r="7" spans="1:7" ht="15" customHeight="1" x14ac:dyDescent="0.25">
      <c r="A7" s="18" t="s">
        <v>66</v>
      </c>
      <c r="B7" s="19">
        <f>-IF(B$4=0,Assumptions!$C$12*Assumptions!$C$13,0)</f>
        <v>-3125</v>
      </c>
      <c r="C7" s="19">
        <f>-IF(C$4=0,Assumptions!$C$12*Assumptions!$C$13,0)</f>
        <v>0</v>
      </c>
      <c r="D7" s="19">
        <f>-IF(D$4=0,Assumptions!$C$12*Assumptions!$C$13,0)</f>
        <v>0</v>
      </c>
      <c r="E7" s="19">
        <f>-IF(E$4=0,Assumptions!$C$12*Assumptions!$C$13,0)</f>
        <v>0</v>
      </c>
      <c r="F7" s="19">
        <f>-IF(F$4=0,Assumptions!$C$12*Assumptions!$C$13,0)</f>
        <v>0</v>
      </c>
      <c r="G7" s="19">
        <f>-IF(G$4=0,Assumptions!$C$12*Assumptions!$C$13,0)</f>
        <v>0</v>
      </c>
    </row>
    <row r="8" spans="1:7" ht="15" customHeight="1" x14ac:dyDescent="0.25">
      <c r="A8" s="18" t="s">
        <v>69</v>
      </c>
      <c r="B8" s="19">
        <f>-IF(B$4=0,Assumptions!$C$12*Assumptions!$C$14,0)</f>
        <v>-10000</v>
      </c>
      <c r="C8" s="19">
        <f>-IF(C$4=0,Assumptions!$C$12*Assumptions!$C$14,0)</f>
        <v>0</v>
      </c>
      <c r="D8" s="19">
        <f>-IF(D$4=0,Assumptions!$C$12*Assumptions!$C$14,0)</f>
        <v>0</v>
      </c>
      <c r="E8" s="19">
        <f>-IF(E$4=0,Assumptions!$C$12*Assumptions!$C$14,0)</f>
        <v>0</v>
      </c>
      <c r="F8" s="19">
        <f>-IF(F$4=0,Assumptions!$C$12*Assumptions!$C$14,0)</f>
        <v>0</v>
      </c>
      <c r="G8" s="19">
        <f>-IF(G$4=0,Assumptions!$C$12*Assumptions!$C$14,0)</f>
        <v>0</v>
      </c>
    </row>
    <row r="9" spans="1:7" ht="15" customHeight="1" x14ac:dyDescent="0.25">
      <c r="A9" s="18" t="s">
        <v>70</v>
      </c>
      <c r="B9" s="19">
        <f>-IF(B$4=0,Assumptions!$C$12*Assumptions!$C$15,0)</f>
        <v>-5000</v>
      </c>
      <c r="C9" s="19">
        <f>-IF(C$4=0,Assumptions!$C$12*Assumptions!$C$15,0)</f>
        <v>0</v>
      </c>
      <c r="D9" s="19">
        <f>-IF(D$4=0,Assumptions!$C$12*Assumptions!$C$15,0)</f>
        <v>0</v>
      </c>
      <c r="E9" s="19">
        <f>-IF(E$4=0,Assumptions!$C$12*Assumptions!$C$15,0)</f>
        <v>0</v>
      </c>
      <c r="F9" s="19">
        <f>-IF(F$4=0,Assumptions!$C$12*Assumptions!$C$15,0)</f>
        <v>0</v>
      </c>
      <c r="G9" s="19">
        <f>-IF(G$4=0,Assumptions!$C$12*Assumptions!$C$15,0)</f>
        <v>0</v>
      </c>
    </row>
    <row r="10" spans="1:7" ht="15" customHeight="1" x14ac:dyDescent="0.25">
      <c r="A10" s="18" t="s">
        <v>71</v>
      </c>
      <c r="B10" s="19">
        <f>-IF(B$4=0,Assumptions!$C$12*Assumptions!$C$16,0)</f>
        <v>-12500</v>
      </c>
      <c r="C10" s="19">
        <f>-IF(C$4=0,Assumptions!$C$12*Assumptions!$C$16,0)</f>
        <v>0</v>
      </c>
      <c r="D10" s="19">
        <f>-IF(D$4=0,Assumptions!$C$12*Assumptions!$C$16,0)</f>
        <v>0</v>
      </c>
      <c r="E10" s="19">
        <f>-IF(E$4=0,Assumptions!$C$12*Assumptions!$C$16,0)</f>
        <v>0</v>
      </c>
      <c r="F10" s="19">
        <f>-IF(F$4=0,Assumptions!$C$12*Assumptions!$C$16,0)</f>
        <v>0</v>
      </c>
      <c r="G10" s="19">
        <f>-IF(G$4=0,Assumptions!$C$12*Assumptions!$C$16,0)</f>
        <v>0</v>
      </c>
    </row>
    <row r="11" spans="1:7" ht="15" customHeight="1" x14ac:dyDescent="0.25">
      <c r="A11" s="18" t="s">
        <v>72</v>
      </c>
      <c r="B11" s="19">
        <f>-IF(B$4=0,Assumptions!$C$12*Assumptions!$C$17,0)</f>
        <v>-5000</v>
      </c>
      <c r="C11" s="19">
        <f>-IF(C$4=0,Assumptions!$C$12*Assumptions!$C$17,0)</f>
        <v>0</v>
      </c>
      <c r="D11" s="19">
        <f>-IF(D$4=0,Assumptions!$C$12*Assumptions!$C$17,0)</f>
        <v>0</v>
      </c>
      <c r="E11" s="19">
        <f>-IF(E$4=0,Assumptions!$C$12*Assumptions!$C$17,0)</f>
        <v>0</v>
      </c>
      <c r="F11" s="19">
        <f>-IF(F$4=0,Assumptions!$C$12*Assumptions!$C$17,0)</f>
        <v>0</v>
      </c>
      <c r="G11" s="19">
        <f>-IF(G$4=0,Assumptions!$C$12*Assumptions!$C$17,0)</f>
        <v>0</v>
      </c>
    </row>
    <row r="12" spans="1:7" ht="15" customHeight="1" x14ac:dyDescent="0.25">
      <c r="A12" s="17" t="s">
        <v>121</v>
      </c>
      <c r="B12" s="48">
        <f t="shared" ref="B12:G12" si="0">SUM(B6:B11)</f>
        <v>-98125</v>
      </c>
      <c r="C12" s="48">
        <f t="shared" si="0"/>
        <v>0</v>
      </c>
      <c r="D12" s="48">
        <f t="shared" si="0"/>
        <v>0</v>
      </c>
      <c r="E12" s="48">
        <f t="shared" si="0"/>
        <v>0</v>
      </c>
      <c r="F12" s="48">
        <f t="shared" si="0"/>
        <v>0</v>
      </c>
      <c r="G12" s="48">
        <f t="shared" si="0"/>
        <v>0</v>
      </c>
    </row>
    <row r="13" spans="1:7" ht="15" customHeight="1" x14ac:dyDescent="0.25">
      <c r="A13" s="49"/>
      <c r="B13" s="51"/>
      <c r="C13" s="51"/>
      <c r="D13" s="51"/>
      <c r="E13" s="51"/>
      <c r="F13" s="51"/>
      <c r="G13" s="51"/>
    </row>
    <row r="14" spans="1:7" ht="15" customHeight="1" x14ac:dyDescent="0.25">
      <c r="A14" s="16" t="s">
        <v>122</v>
      </c>
      <c r="B14" s="16"/>
      <c r="C14" s="16"/>
      <c r="D14" s="16"/>
      <c r="E14" s="16"/>
      <c r="F14" s="16"/>
      <c r="G14" s="16"/>
    </row>
    <row r="15" spans="1:7" ht="15" customHeight="1" x14ac:dyDescent="0.25">
      <c r="A15" s="18" t="s">
        <v>123</v>
      </c>
      <c r="B15" s="19">
        <f>IF(OR(B$4=0,B$4&gt;Assumptions!$C$6),0,Assumptions!$C$25*Assumptions!$C$26*Assumptions!$C$20*(1+Assumptions!$C$7)^(B$4-1))</f>
        <v>0</v>
      </c>
      <c r="C15" s="19">
        <f>IF(OR(C$4=0,C$4&gt;Assumptions!$C$6),0,Assumptions!$C$25*Assumptions!$C$26*Assumptions!$C$20*(1+Assumptions!$C$7)^(C$4-1))</f>
        <v>232887.90611570299</v>
      </c>
      <c r="D15" s="19">
        <f>IF(OR(D$4=0,D$4&gt;Assumptions!$C$6),0,Assumptions!$C$25*Assumptions!$C$26*Assumptions!$C$20*(1+Assumptions!$C$7)^(D$4-1))</f>
        <v>239874.54329917399</v>
      </c>
      <c r="E15" s="19">
        <f>IF(OR(E$4=0,E$4&gt;Assumptions!$C$6),0,Assumptions!$C$25*Assumptions!$C$26*Assumptions!$C$20*(1+Assumptions!$C$7)^(E$4-1))</f>
        <v>247070.77959814901</v>
      </c>
      <c r="F15" s="19">
        <f>IF(OR(F$4=0,F$4&gt;Assumptions!$C$6),0,Assumptions!$C$25*Assumptions!$C$26*Assumptions!$C$20*(1+Assumptions!$C$7)^(F$4-1))</f>
        <v>254482.90298609401</v>
      </c>
      <c r="G15" s="19">
        <f>IF(OR(G$4=0,G$4&gt;Assumptions!$C$6),0,Assumptions!$C$25*Assumptions!$C$26*Assumptions!$C$20*(1+Assumptions!$C$7)^(G$4-1))</f>
        <v>262117.39007567699</v>
      </c>
    </row>
    <row r="16" spans="1:7" ht="15" customHeight="1" x14ac:dyDescent="0.25">
      <c r="A16" s="18" t="s">
        <v>74</v>
      </c>
      <c r="B16" s="19">
        <f>IF(OR(B$4=0,B$4&gt;Assumptions!$C$6),0,-Assumptions!$C$18*(1+Assumptions!$C$7)^(B$4-1))</f>
        <v>0</v>
      </c>
      <c r="C16" s="19">
        <f>IF(OR(C$4=0,C$4&gt;Assumptions!$C$6),0,-Assumptions!$C$18*(1+Assumptions!$C$7)^(C$4-1))</f>
        <v>-12500</v>
      </c>
      <c r="D16" s="19">
        <f>IF(OR(D$4=0,D$4&gt;Assumptions!$C$6),0,-Assumptions!$C$18*(1+Assumptions!$C$7)^(D$4-1))</f>
        <v>-12875</v>
      </c>
      <c r="E16" s="19">
        <f>IF(OR(E$4=0,E$4&gt;Assumptions!$C$6),0,-Assumptions!$C$18*(1+Assumptions!$C$7)^(E$4-1))</f>
        <v>-13261.25</v>
      </c>
      <c r="F16" s="19">
        <f>IF(OR(F$4=0,F$4&gt;Assumptions!$C$6),0,-Assumptions!$C$18*(1+Assumptions!$C$7)^(F$4-1))</f>
        <v>-13659.0875</v>
      </c>
      <c r="G16" s="19">
        <f>IF(OR(G$4=0,G$4&gt;Assumptions!$C$6),0,-Assumptions!$C$18*(1+Assumptions!$C$7)^(G$4-1))</f>
        <v>-14068.860124999999</v>
      </c>
    </row>
    <row r="17" spans="1:7" ht="15" customHeight="1" x14ac:dyDescent="0.25">
      <c r="A17" s="18" t="s">
        <v>124</v>
      </c>
      <c r="B17" s="19">
        <f>IF(OR(B$4=0,B$4&gt;Assumptions!$C$6),0,-Assumptions!$C$19*Assumptions!$C$20*Assumptions!$C$21*(1+Assumptions!$C$7)^(B$4-1))</f>
        <v>0</v>
      </c>
      <c r="C17" s="19">
        <f>IF(OR(C$4=0,C$4&gt;Assumptions!$C$6),0,-Assumptions!$C$19*Assumptions!$C$20*Assumptions!$C$21*(1+Assumptions!$C$7)^(C$4-1))</f>
        <v>-146.83949999999999</v>
      </c>
      <c r="D17" s="19">
        <f>IF(OR(D$4=0,D$4&gt;Assumptions!$C$6),0,-Assumptions!$C$19*Assumptions!$C$20*Assumptions!$C$21*(1+Assumptions!$C$7)^(D$4-1))</f>
        <v>-151.244685</v>
      </c>
      <c r="E17" s="19">
        <f>IF(OR(E$4=0,E$4&gt;Assumptions!$C$6),0,-Assumptions!$C$19*Assumptions!$C$20*Assumptions!$C$21*(1+Assumptions!$C$7)^(E$4-1))</f>
        <v>-155.78202554999999</v>
      </c>
      <c r="F17" s="19">
        <f>IF(OR(F$4=0,F$4&gt;Assumptions!$C$6),0,-Assumptions!$C$19*Assumptions!$C$20*Assumptions!$C$21*(1+Assumptions!$C$7)^(F$4-1))</f>
        <v>-160.45548631649999</v>
      </c>
      <c r="G17" s="19">
        <f>IF(OR(G$4=0,G$4&gt;Assumptions!$C$6),0,-Assumptions!$C$19*Assumptions!$C$20*Assumptions!$C$21*(1+Assumptions!$C$7)^(G$4-1))</f>
        <v>-165.26915090599499</v>
      </c>
    </row>
    <row r="18" spans="1:7" ht="15" customHeight="1" x14ac:dyDescent="0.25">
      <c r="A18" s="18" t="s">
        <v>125</v>
      </c>
      <c r="B18" s="19">
        <f>IF(OR(B$4=0,B$4&gt;Assumptions!$C$6),0,-Assumptions!$C$12*Assumptions!$C$22*(1+Assumptions!$C$7)^(B$4-1))</f>
        <v>0</v>
      </c>
      <c r="C18" s="19">
        <f>IF(OR(C$4=0,C$4&gt;Assumptions!$C$6),0,-Assumptions!$C$12*Assumptions!$C$22*(1+Assumptions!$C$7)^(C$4-1))</f>
        <v>-3125</v>
      </c>
      <c r="D18" s="19">
        <f>IF(OR(D$4=0,D$4&gt;Assumptions!$C$6),0,-Assumptions!$C$12*Assumptions!$C$22*(1+Assumptions!$C$7)^(D$4-1))</f>
        <v>-3218.75</v>
      </c>
      <c r="E18" s="19">
        <f>IF(OR(E$4=0,E$4&gt;Assumptions!$C$6),0,-Assumptions!$C$12*Assumptions!$C$22*(1+Assumptions!$C$7)^(E$4-1))</f>
        <v>-3315.3125</v>
      </c>
      <c r="F18" s="19">
        <f>IF(OR(F$4=0,F$4&gt;Assumptions!$C$6),0,-Assumptions!$C$12*Assumptions!$C$22*(1+Assumptions!$C$7)^(F$4-1))</f>
        <v>-3414.7718749999999</v>
      </c>
      <c r="G18" s="19">
        <f>IF(OR(G$4=0,G$4&gt;Assumptions!$C$6),0,-Assumptions!$C$12*Assumptions!$C$22*(1+Assumptions!$C$7)^(G$4-1))</f>
        <v>-3517.2150312499998</v>
      </c>
    </row>
    <row r="19" spans="1:7" ht="15" customHeight="1" x14ac:dyDescent="0.25">
      <c r="A19" s="18" t="s">
        <v>126</v>
      </c>
      <c r="B19" s="19">
        <f>IF(OR(B$4=0,B$4&gt;Assumptions!$C$6),0,-Assumptions!$C$25*Assumptions!$C$26*Assumptions!$C$20*Assumptions!$C$27*(1+Assumptions!$C$7)^(B$4-1))</f>
        <v>0</v>
      </c>
      <c r="C19" s="19">
        <f>IF(OR(C$4=0,C$4&gt;Assumptions!$C$6),0,-Assumptions!$C$25*Assumptions!$C$26*Assumptions!$C$20*Assumptions!$C$27*(1+Assumptions!$C$7)^(C$4-1))</f>
        <v>-58221.976528925697</v>
      </c>
      <c r="D19" s="19">
        <f>IF(OR(D$4=0,D$4&gt;Assumptions!$C$6),0,-Assumptions!$C$25*Assumptions!$C$26*Assumptions!$C$20*Assumptions!$C$27*(1+Assumptions!$C$7)^(D$4-1))</f>
        <v>-59968.635824793499</v>
      </c>
      <c r="E19" s="19">
        <f>IF(OR(E$4=0,E$4&gt;Assumptions!$C$6),0,-Assumptions!$C$25*Assumptions!$C$26*Assumptions!$C$20*Assumptions!$C$27*(1+Assumptions!$C$7)^(E$4-1))</f>
        <v>-61767.694899537302</v>
      </c>
      <c r="F19" s="19">
        <f>IF(OR(F$4=0,F$4&gt;Assumptions!$C$6),0,-Assumptions!$C$25*Assumptions!$C$26*Assumptions!$C$20*Assumptions!$C$27*(1+Assumptions!$C$7)^(F$4-1))</f>
        <v>-63620.7257465234</v>
      </c>
      <c r="G19" s="19">
        <f>IF(OR(G$4=0,G$4&gt;Assumptions!$C$6),0,-Assumptions!$C$25*Assumptions!$C$26*Assumptions!$C$20*Assumptions!$C$27*(1+Assumptions!$C$7)^(G$4-1))</f>
        <v>-65529.347518919203</v>
      </c>
    </row>
    <row r="20" spans="1:7" ht="15" customHeight="1" x14ac:dyDescent="0.25">
      <c r="A20" s="18" t="s">
        <v>127</v>
      </c>
      <c r="B20" s="19">
        <f>IF(OR(B$4=0,B$4&gt;Assumptions!$C$6),0,-Assumptions!$C$25*Assumptions!$C$26*Assumptions!$C$20*Assumptions!$C$28*(1+Assumptions!$C$7)^(B$4-1))</f>
        <v>0</v>
      </c>
      <c r="C20" s="19">
        <f>IF(OR(C$4=0,C$4&gt;Assumptions!$C$6),0,-Assumptions!$C$25*Assumptions!$C$26*Assumptions!$C$20*Assumptions!$C$28*(1+Assumptions!$C$7)^(C$4-1))</f>
        <v>-4657.7581223140596</v>
      </c>
      <c r="D20" s="19">
        <f>IF(OR(D$4=0,D$4&gt;Assumptions!$C$6),0,-Assumptions!$C$25*Assumptions!$C$26*Assumptions!$C$20*Assumptions!$C$28*(1+Assumptions!$C$7)^(D$4-1))</f>
        <v>-4797.49086598348</v>
      </c>
      <c r="E20" s="19">
        <f>IF(OR(E$4=0,E$4&gt;Assumptions!$C$6),0,-Assumptions!$C$25*Assumptions!$C$26*Assumptions!$C$20*Assumptions!$C$28*(1+Assumptions!$C$7)^(E$4-1))</f>
        <v>-4941.4155919629902</v>
      </c>
      <c r="F20" s="19">
        <f>IF(OR(F$4=0,F$4&gt;Assumptions!$C$6),0,-Assumptions!$C$25*Assumptions!$C$26*Assumptions!$C$20*Assumptions!$C$28*(1+Assumptions!$C$7)^(F$4-1))</f>
        <v>-5089.6580597218799</v>
      </c>
      <c r="G20" s="19">
        <f>IF(OR(G$4=0,G$4&gt;Assumptions!$C$6),0,-Assumptions!$C$25*Assumptions!$C$26*Assumptions!$C$20*Assumptions!$C$28*(1+Assumptions!$C$7)^(G$4-1))</f>
        <v>-5242.3478015135297</v>
      </c>
    </row>
    <row r="21" spans="1:7" ht="15" customHeight="1" x14ac:dyDescent="0.25">
      <c r="A21" s="18" t="s">
        <v>128</v>
      </c>
      <c r="B21" s="19">
        <f>IF(B$4=Assumptions!$C$6,Assumptions!$C$12*Assumptions!$C$29,0)</f>
        <v>0</v>
      </c>
      <c r="C21" s="19">
        <f>IF(C$4=Assumptions!$C$6,Assumptions!$C$12*Assumptions!$C$29,0)</f>
        <v>0</v>
      </c>
      <c r="D21" s="19">
        <f>IF(D$4=Assumptions!$C$6,Assumptions!$C$12*Assumptions!$C$29,0)</f>
        <v>0</v>
      </c>
      <c r="E21" s="19">
        <f>IF(E$4=Assumptions!$C$6,Assumptions!$C$12*Assumptions!$C$29,0)</f>
        <v>0</v>
      </c>
      <c r="F21" s="19">
        <f>IF(F$4=Assumptions!$C$6,Assumptions!$C$12*Assumptions!$C$29,0)</f>
        <v>0</v>
      </c>
      <c r="G21" s="19">
        <f>IF(G$4=Assumptions!$C$6,Assumptions!$C$12*Assumptions!$C$29,0)</f>
        <v>6250</v>
      </c>
    </row>
    <row r="22" spans="1:7" ht="15" customHeight="1" x14ac:dyDescent="0.25">
      <c r="A22" s="17" t="s">
        <v>129</v>
      </c>
      <c r="B22" s="48">
        <f t="shared" ref="B22:G22" si="1">SUM(B6:B11)+SUM(B15:B21)</f>
        <v>-98125</v>
      </c>
      <c r="C22" s="48">
        <f t="shared" si="1"/>
        <v>154236.331964463</v>
      </c>
      <c r="D22" s="48">
        <f t="shared" si="1"/>
        <v>158863.42192339699</v>
      </c>
      <c r="E22" s="48">
        <f t="shared" si="1"/>
        <v>163629.324581099</v>
      </c>
      <c r="F22" s="48">
        <f t="shared" si="1"/>
        <v>168538.20431853199</v>
      </c>
      <c r="G22" s="48">
        <f t="shared" si="1"/>
        <v>179844.35044808799</v>
      </c>
    </row>
    <row r="23" spans="1:7" ht="15" customHeight="1" x14ac:dyDescent="0.25">
      <c r="A23" s="17" t="s">
        <v>130</v>
      </c>
      <c r="B23" s="52">
        <f>1/(1+Assumptions!$C$10)^B$4</f>
        <v>1</v>
      </c>
      <c r="C23" s="52">
        <f>1/(1+Assumptions!$C$10)^C$4</f>
        <v>0.92807424593967502</v>
      </c>
      <c r="D23" s="52">
        <f>1/(1+Assumptions!$C$10)^D$4</f>
        <v>0.86132180597649699</v>
      </c>
      <c r="E23" s="52">
        <f>1/(1+Assumptions!$C$10)^E$4</f>
        <v>0.79937058559303698</v>
      </c>
      <c r="F23" s="52">
        <f>1/(1+Assumptions!$C$10)^F$4</f>
        <v>0.741875253450614</v>
      </c>
      <c r="G23" s="52">
        <f>1/(1+Assumptions!$C$10)^G$4</f>
        <v>0.68851531642748398</v>
      </c>
    </row>
    <row r="24" spans="1:7" ht="15" customHeight="1" x14ac:dyDescent="0.25">
      <c r="A24" s="17" t="s">
        <v>131</v>
      </c>
      <c r="B24" s="48">
        <f t="shared" ref="B24:G24" si="2">B22*B23</f>
        <v>-98125</v>
      </c>
      <c r="C24" s="48">
        <f t="shared" si="2"/>
        <v>143142.767484421</v>
      </c>
      <c r="D24" s="48">
        <f t="shared" si="2"/>
        <v>136832.52947466701</v>
      </c>
      <c r="E24" s="48">
        <f t="shared" si="2"/>
        <v>130800.46901058601</v>
      </c>
      <c r="F24" s="48">
        <f t="shared" si="2"/>
        <v>125034.323044922</v>
      </c>
      <c r="G24" s="48">
        <f t="shared" si="2"/>
        <v>123825.589856461</v>
      </c>
    </row>
    <row r="25" spans="1:7" ht="15" customHeight="1" x14ac:dyDescent="0.25">
      <c r="A25" s="17" t="s">
        <v>132</v>
      </c>
      <c r="B25" s="48">
        <f>B22</f>
        <v>-98125</v>
      </c>
      <c r="C25" s="48">
        <f>B25+C22</f>
        <v>56111.331964463199</v>
      </c>
      <c r="D25" s="48">
        <f>C25+D22</f>
        <v>214974.75388785999</v>
      </c>
      <c r="E25" s="48">
        <f>D25+E22</f>
        <v>378604.07846895902</v>
      </c>
      <c r="F25" s="48">
        <f>E25+F22</f>
        <v>547142.28278749099</v>
      </c>
      <c r="G25" s="48">
        <f>F25+G22</f>
        <v>726986.63323557901</v>
      </c>
    </row>
    <row r="26" spans="1:7" ht="15" customHeight="1" x14ac:dyDescent="0.25">
      <c r="A26" s="17" t="s">
        <v>133</v>
      </c>
      <c r="B26" s="48">
        <f>B24</f>
        <v>-98125</v>
      </c>
      <c r="C26" s="48">
        <f>B26+C24</f>
        <v>45017.767484420598</v>
      </c>
      <c r="D26" s="48">
        <f>C26+D24</f>
        <v>181850.29695908699</v>
      </c>
      <c r="E26" s="48">
        <f>D26+E24</f>
        <v>312650.765969673</v>
      </c>
      <c r="F26" s="48">
        <f>E26+F24</f>
        <v>437685.08901459601</v>
      </c>
      <c r="G26" s="48">
        <f>F26+G24</f>
        <v>561510.67887105595</v>
      </c>
    </row>
    <row r="27" spans="1:7" ht="13.8" x14ac:dyDescent="0.25">
      <c r="A27" s="49"/>
      <c r="B27" s="49"/>
      <c r="C27" s="49"/>
      <c r="D27" s="49"/>
      <c r="E27" s="49"/>
      <c r="F27" s="49"/>
      <c r="G27" s="49"/>
    </row>
    <row r="28" spans="1:7" ht="15" customHeight="1" x14ac:dyDescent="0.25">
      <c r="A28" s="16" t="s">
        <v>134</v>
      </c>
      <c r="B28" s="16"/>
      <c r="C28" s="16"/>
      <c r="D28" s="16"/>
      <c r="E28" s="16"/>
      <c r="F28" s="16"/>
      <c r="G28" s="16"/>
    </row>
    <row r="29" spans="1:7" ht="15" customHeight="1" x14ac:dyDescent="0.25">
      <c r="A29" s="18" t="s">
        <v>12</v>
      </c>
      <c r="B29" s="19">
        <f>NPV(Assumptions!$C$10,C22:G22)+B22</f>
        <v>561510.67887105595</v>
      </c>
      <c r="C29" s="53" t="s">
        <v>135</v>
      </c>
      <c r="D29" s="53"/>
      <c r="E29" s="53"/>
      <c r="F29" s="53"/>
      <c r="G29" s="53"/>
    </row>
    <row r="30" spans="1:7" ht="15" customHeight="1" x14ac:dyDescent="0.25">
      <c r="A30" s="18" t="s">
        <v>15</v>
      </c>
      <c r="B30" s="20">
        <f>IRR(B22:G22)</f>
        <v>1.58696431642502</v>
      </c>
      <c r="C30" s="53" t="s">
        <v>136</v>
      </c>
      <c r="D30" s="53"/>
      <c r="E30" s="53"/>
      <c r="F30" s="53"/>
      <c r="G30" s="53"/>
    </row>
    <row r="31" spans="1:7" ht="15" customHeight="1" x14ac:dyDescent="0.25">
      <c r="A31" s="18" t="s">
        <v>18</v>
      </c>
      <c r="B31" s="18" t="str">
        <f>IF(C25&gt;=0,"Year 1",IF(D25&gt;=0,"Year 2",IF(E25&gt;=0,"Year 3",IF(F25&gt;=0,"Year 4",IF(G25&gt;=0,"Year 5","Beyond 5 years")))))</f>
        <v>Year 1</v>
      </c>
      <c r="C31" s="53" t="s">
        <v>137</v>
      </c>
      <c r="D31" s="53"/>
      <c r="E31" s="53"/>
      <c r="F31" s="53"/>
      <c r="G31" s="53"/>
    </row>
    <row r="32" spans="1:7" ht="15" customHeight="1" x14ac:dyDescent="0.25">
      <c r="A32" s="18" t="s">
        <v>21</v>
      </c>
      <c r="B32" s="21">
        <f>IF(C25&gt;=0,ABS(B22)/C22*12,IF(D25&gt;=0,12+ABS(C25)/D22*12,IF(E25&gt;=0,24+ABS(D25)/E22*12,IF(F25&gt;=0,36+ABS(E25)/F22*12,IF(G25&gt;=0,48+ABS(F25)/G22*12,0)))))</f>
        <v>7.6343879875936196</v>
      </c>
      <c r="C32" s="53" t="s">
        <v>138</v>
      </c>
      <c r="D32" s="53"/>
      <c r="E32" s="53"/>
      <c r="F32" s="53"/>
      <c r="G32" s="53"/>
    </row>
  </sheetData>
  <mergeCells count="8">
    <mergeCell ref="C30:G30"/>
    <mergeCell ref="C31:G31"/>
    <mergeCell ref="C32:G32"/>
    <mergeCell ref="A1:G1"/>
    <mergeCell ref="A5:G5"/>
    <mergeCell ref="A14:G14"/>
    <mergeCell ref="A28:G28"/>
    <mergeCell ref="C29:G29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H34" sqref="H34"/>
    </sheetView>
  </sheetViews>
  <sheetFormatPr defaultColWidth="8.6640625" defaultRowHeight="13.2" x14ac:dyDescent="0.25"/>
  <cols>
    <col min="1" max="1" width="31" customWidth="1"/>
    <col min="2" max="2" width="18" customWidth="1"/>
    <col min="3" max="3" width="16" customWidth="1"/>
    <col min="4" max="6" width="19" customWidth="1"/>
    <col min="7" max="7" width="14" customWidth="1"/>
    <col min="8" max="8" width="16" customWidth="1"/>
    <col min="9" max="9" width="18" customWidth="1"/>
    <col min="10" max="10" width="51" customWidth="1"/>
  </cols>
  <sheetData>
    <row r="1" spans="1:10" ht="13.8" x14ac:dyDescent="0.25">
      <c r="A1" s="26" t="s">
        <v>139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3.8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 ht="13.8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ht="13.8" x14ac:dyDescent="0.25">
      <c r="A4" s="16" t="s">
        <v>140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5" customHeight="1" x14ac:dyDescent="0.25">
      <c r="A5" s="17" t="s">
        <v>25</v>
      </c>
      <c r="B5" s="17" t="s">
        <v>141</v>
      </c>
      <c r="C5" s="17" t="s">
        <v>142</v>
      </c>
      <c r="D5" s="17" t="s">
        <v>6</v>
      </c>
      <c r="E5" s="17" t="s">
        <v>12</v>
      </c>
      <c r="F5" s="17" t="s">
        <v>26</v>
      </c>
      <c r="G5" s="17" t="s">
        <v>15</v>
      </c>
      <c r="H5" s="17" t="s">
        <v>18</v>
      </c>
      <c r="I5" s="17" t="s">
        <v>27</v>
      </c>
      <c r="J5" s="17" t="s">
        <v>5</v>
      </c>
    </row>
    <row r="6" spans="1:10" ht="15" customHeight="1" x14ac:dyDescent="0.25">
      <c r="A6" s="18" t="s">
        <v>143</v>
      </c>
      <c r="B6" s="54">
        <v>1</v>
      </c>
      <c r="C6" s="55">
        <f>Assumptions!$C$6</f>
        <v>5</v>
      </c>
      <c r="D6" s="19">
        <f>ABS(B13)</f>
        <v>98125</v>
      </c>
      <c r="E6" s="19">
        <f>NPV(Assumptions!$C$10,C13:G13)+B13</f>
        <v>561510.67887105595</v>
      </c>
      <c r="F6" s="19">
        <f>E6-$E$6</f>
        <v>0</v>
      </c>
      <c r="G6" s="20">
        <f>IRR(B13:G13)</f>
        <v>1.58696431642502</v>
      </c>
      <c r="H6" s="18" t="str">
        <f>IF(SUM(B13:C13)&gt;=0,"Year 1",IF(SUM(B13:D13)&gt;=0,"Year 2",IF(SUM(B13:E13)&gt;=0,"Year 3",IF(SUM(B13:F13)&gt;=0,"Year 4",IF(SUM(B13:G13)&gt;=0,"Year 5","Beyond 5 years")))))</f>
        <v>Year 1</v>
      </c>
      <c r="I6" s="21">
        <f>IF(SUM(B13:C13)&gt;=0,ABS(B13)/C13*12,IF(SUM(B13:D13)&gt;=0,12+ABS(SUM(B13:C13))/D13*12,IF(SUM(B13:E13)&gt;=0,24+ABS(SUM(B13:D13))/E13*12,IF(SUM(B13:F13)&gt;=0,36+ABS(SUM(B13:E13))/F13*12,IF(SUM(B13:G13)&gt;=0,48+ABS(SUM(B13:F13))/G13*12,0)))))</f>
        <v>7.6343879875936196</v>
      </c>
      <c r="J6" s="18" t="s">
        <v>144</v>
      </c>
    </row>
    <row r="7" spans="1:10" ht="33" customHeight="1" x14ac:dyDescent="0.25">
      <c r="A7" s="18" t="s">
        <v>145</v>
      </c>
      <c r="B7" s="54">
        <v>1.2</v>
      </c>
      <c r="C7" s="55">
        <f>$C$6</f>
        <v>5</v>
      </c>
      <c r="D7" s="19">
        <f>ABS(B14)</f>
        <v>117750</v>
      </c>
      <c r="E7" s="19">
        <f>NPV(Assumptions!$C$10,C14:G14)+B14</f>
        <v>540090.76980728598</v>
      </c>
      <c r="F7" s="19">
        <f>E7-$E$6</f>
        <v>-21419.909063770301</v>
      </c>
      <c r="G7" s="20">
        <f>IRR(B14:G14)</f>
        <v>1.31294257563379</v>
      </c>
      <c r="H7" s="18" t="str">
        <f>IF(SUM(B14:C14)&gt;=0,"Year 1",IF(SUM(B14:D14)&gt;=0,"Year 2",IF(SUM(B14:E14)&gt;=0,"Year 3",IF(SUM(B14:F14)&gt;=0,"Year 4",IF(SUM(B14:G14)&gt;=0,"Year 5","Beyond 5 years")))))</f>
        <v>Year 1</v>
      </c>
      <c r="I7" s="21">
        <f>IF(SUM(B14:C14)&gt;=0,ABS(B14)/C14*12,IF(SUM(B14:D14)&gt;=0,12+ABS(SUM(B14:C14))/D14*12,IF(SUM(B14:E14)&gt;=0,24+ABS(SUM(B14:D14))/E14*12,IF(SUM(B14:F14)&gt;=0,36+ABS(SUM(B14:E14))/F14*12,IF(SUM(B14:G14)&gt;=0,48+ABS(SUM(B14:F14))/G14*12,0)))))</f>
        <v>9.1985401202489907</v>
      </c>
      <c r="J7" s="18" t="s">
        <v>146</v>
      </c>
    </row>
    <row r="8" spans="1:10" ht="33" customHeight="1" x14ac:dyDescent="0.25">
      <c r="A8" s="18" t="s">
        <v>147</v>
      </c>
      <c r="B8" s="54">
        <v>1</v>
      </c>
      <c r="C8" s="56">
        <v>3</v>
      </c>
      <c r="D8" s="19">
        <f>ABS(B15)</f>
        <v>98125</v>
      </c>
      <c r="E8" s="19">
        <f>NPV(Assumptions!$C$10,C15:G15)+B15</f>
        <v>317646.83212963003</v>
      </c>
      <c r="F8" s="19">
        <f>E8-$E$6</f>
        <v>-243863.84674142601</v>
      </c>
      <c r="G8" s="20">
        <f>IRR(B15:G15)</f>
        <v>1.4975911761368801</v>
      </c>
      <c r="H8" s="18" t="str">
        <f>IF(SUM(B15:C15)&gt;=0,"Year 1",IF(SUM(B15:D15)&gt;=0,"Year 2",IF(SUM(B15:E15)&gt;=0,"Year 3",IF(SUM(B15:F15)&gt;=0,"Year 4",IF(SUM(B15:G15)&gt;=0,"Year 5","Beyond 5 years")))))</f>
        <v>Year 1</v>
      </c>
      <c r="I8" s="21">
        <f>IF(SUM(B15:C15)&gt;=0,ABS(B15)/C15*12,IF(SUM(B15:D15)&gt;=0,12+ABS(SUM(B15:C15))/D15*12,IF(SUM(B15:E15)&gt;=0,24+ABS(SUM(B15:D15))/E15*12,IF(SUM(B15:F15)&gt;=0,36+ABS(SUM(B15:E15))/F15*12,IF(SUM(B15:G15)&gt;=0,48+ABS(SUM(B15:F15))/G15*12,0)))))</f>
        <v>7.6343879875936196</v>
      </c>
      <c r="J8" s="18" t="s">
        <v>148</v>
      </c>
    </row>
    <row r="9" spans="1:10" ht="13.8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</row>
    <row r="10" spans="1:10" ht="13.8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</row>
    <row r="11" spans="1:10" ht="15" customHeight="1" x14ac:dyDescent="0.25">
      <c r="A11" s="16" t="s">
        <v>149</v>
      </c>
      <c r="B11" s="16"/>
      <c r="C11" s="16"/>
      <c r="D11" s="16"/>
      <c r="E11" s="16"/>
      <c r="F11" s="16"/>
      <c r="G11" s="16"/>
      <c r="H11" s="49"/>
      <c r="I11" s="49"/>
      <c r="J11" s="49"/>
    </row>
    <row r="12" spans="1:10" ht="15" customHeight="1" x14ac:dyDescent="0.25">
      <c r="A12" s="17" t="s">
        <v>25</v>
      </c>
      <c r="B12" s="50">
        <v>0</v>
      </c>
      <c r="C12" s="50">
        <v>1</v>
      </c>
      <c r="D12" s="50">
        <v>2</v>
      </c>
      <c r="E12" s="50">
        <v>3</v>
      </c>
      <c r="F12" s="50">
        <v>4</v>
      </c>
      <c r="G12" s="50">
        <v>5</v>
      </c>
      <c r="H12" s="49"/>
      <c r="I12" s="49"/>
      <c r="J12" s="49"/>
    </row>
    <row r="13" spans="1:10" ht="15" customHeight="1" x14ac:dyDescent="0.25">
      <c r="A13" s="18" t="str">
        <f>A6</f>
        <v>Base</v>
      </c>
      <c r="B13" s="19">
        <f>IF(B$12=0,-Assumptions!$C$12*$B6*(1+SUM(Assumptions!$C$13:$C$17)),IF(B$12&gt;$C6,0,(Assumptions!$C$25*Assumptions!$C$26*Assumptions!$C$20-Assumptions!$C$18-Assumptions!$C$19*Assumptions!$C$20*Assumptions!$C$21-Assumptions!$C$12*$B6*Assumptions!$C$22-Assumptions!$C$25*Assumptions!$C$26*Assumptions!$C$20*Assumptions!$C$27-Assumptions!$C$25*Assumptions!$C$26*Assumptions!$C$20*Assumptions!$C$28)*(1+Assumptions!$C$7)^(B$12-1)+IF(B$12=$C6,Assumptions!$C$12*$B6*Assumptions!$C$29,0)))</f>
        <v>-98125</v>
      </c>
      <c r="C13" s="19">
        <f>IF(C$12=0,-Assumptions!$C$12*$B6*(1+SUM(Assumptions!$C$13:$C$17)),IF(C$12&gt;$C6,0,(Assumptions!$C$25*Assumptions!$C$26*Assumptions!$C$20-Assumptions!$C$18-Assumptions!$C$19*Assumptions!$C$20*Assumptions!$C$21-Assumptions!$C$12*$B6*Assumptions!$C$22-Assumptions!$C$25*Assumptions!$C$26*Assumptions!$C$20*Assumptions!$C$27-Assumptions!$C$25*Assumptions!$C$26*Assumptions!$C$20*Assumptions!$C$28)*(1+Assumptions!$C$7)^(C$12-1)+IF(C$12=$C6,Assumptions!$C$12*$B6*Assumptions!$C$29,0)))</f>
        <v>154236.331964463</v>
      </c>
      <c r="D13" s="19">
        <f>IF(D$12=0,-Assumptions!$C$12*$B6*(1+SUM(Assumptions!$C$13:$C$17)),IF(D$12&gt;$C6,0,(Assumptions!$C$25*Assumptions!$C$26*Assumptions!$C$20-Assumptions!$C$18-Assumptions!$C$19*Assumptions!$C$20*Assumptions!$C$21-Assumptions!$C$12*$B6*Assumptions!$C$22-Assumptions!$C$25*Assumptions!$C$26*Assumptions!$C$20*Assumptions!$C$27-Assumptions!$C$25*Assumptions!$C$26*Assumptions!$C$20*Assumptions!$C$28)*(1+Assumptions!$C$7)^(D$12-1)+IF(D$12=$C6,Assumptions!$C$12*$B6*Assumptions!$C$29,0)))</f>
        <v>158863.42192339699</v>
      </c>
      <c r="E13" s="19">
        <f>IF(E$12=0,-Assumptions!$C$12*$B6*(1+SUM(Assumptions!$C$13:$C$17)),IF(E$12&gt;$C6,0,(Assumptions!$C$25*Assumptions!$C$26*Assumptions!$C$20-Assumptions!$C$18-Assumptions!$C$19*Assumptions!$C$20*Assumptions!$C$21-Assumptions!$C$12*$B6*Assumptions!$C$22-Assumptions!$C$25*Assumptions!$C$26*Assumptions!$C$20*Assumptions!$C$27-Assumptions!$C$25*Assumptions!$C$26*Assumptions!$C$20*Assumptions!$C$28)*(1+Assumptions!$C$7)^(E$12-1)+IF(E$12=$C6,Assumptions!$C$12*$B6*Assumptions!$C$29,0)))</f>
        <v>163629.324581099</v>
      </c>
      <c r="F13" s="19">
        <f>IF(F$12=0,-Assumptions!$C$12*$B6*(1+SUM(Assumptions!$C$13:$C$17)),IF(F$12&gt;$C6,0,(Assumptions!$C$25*Assumptions!$C$26*Assumptions!$C$20-Assumptions!$C$18-Assumptions!$C$19*Assumptions!$C$20*Assumptions!$C$21-Assumptions!$C$12*$B6*Assumptions!$C$22-Assumptions!$C$25*Assumptions!$C$26*Assumptions!$C$20*Assumptions!$C$27-Assumptions!$C$25*Assumptions!$C$26*Assumptions!$C$20*Assumptions!$C$28)*(1+Assumptions!$C$7)^(F$12-1)+IF(F$12=$C6,Assumptions!$C$12*$B6*Assumptions!$C$29,0)))</f>
        <v>168538.20431853199</v>
      </c>
      <c r="G13" s="19">
        <f>IF(G$12=0,-Assumptions!$C$12*$B6*(1+SUM(Assumptions!$C$13:$C$17)),IF(G$12&gt;$C6,0,(Assumptions!$C$25*Assumptions!$C$26*Assumptions!$C$20-Assumptions!$C$18-Assumptions!$C$19*Assumptions!$C$20*Assumptions!$C$21-Assumptions!$C$12*$B6*Assumptions!$C$22-Assumptions!$C$25*Assumptions!$C$26*Assumptions!$C$20*Assumptions!$C$27-Assumptions!$C$25*Assumptions!$C$26*Assumptions!$C$20*Assumptions!$C$28)*(1+Assumptions!$C$7)^(G$12-1)+IF(G$12=$C6,Assumptions!$C$12*$B6*Assumptions!$C$29,0)))</f>
        <v>179844.35044808799</v>
      </c>
      <c r="H13" s="49"/>
      <c r="I13" s="49"/>
      <c r="J13" s="49"/>
    </row>
    <row r="14" spans="1:10" ht="15" customHeight="1" x14ac:dyDescent="0.25">
      <c r="A14" s="18" t="str">
        <f>A7</f>
        <v>Hardware cost +20%</v>
      </c>
      <c r="B14" s="19">
        <f>IF(B$12=0,-Assumptions!$C$12*$B7*(1+SUM(Assumptions!$C$13:$C$17)),IF(B$12&gt;$C7,0,(Assumptions!$C$25*Assumptions!$C$26*Assumptions!$C$20-Assumptions!$C$18-Assumptions!$C$19*Assumptions!$C$20*Assumptions!$C$21-Assumptions!$C$12*$B7*Assumptions!$C$22-Assumptions!$C$25*Assumptions!$C$26*Assumptions!$C$20*Assumptions!$C$27-Assumptions!$C$25*Assumptions!$C$26*Assumptions!$C$20*Assumptions!$C$28)*(1+Assumptions!$C$7)^(B$12-1)+IF(B$12=$C7,Assumptions!$C$12*$B7*Assumptions!$C$29,0)))</f>
        <v>-117750</v>
      </c>
      <c r="C14" s="19">
        <f>IF(C$12=0,-Assumptions!$C$12*$B7*(1+SUM(Assumptions!$C$13:$C$17)),IF(C$12&gt;$C7,0,(Assumptions!$C$25*Assumptions!$C$26*Assumptions!$C$20-Assumptions!$C$18-Assumptions!$C$19*Assumptions!$C$20*Assumptions!$C$21-Assumptions!$C$12*$B7*Assumptions!$C$22-Assumptions!$C$25*Assumptions!$C$26*Assumptions!$C$20*Assumptions!$C$27-Assumptions!$C$25*Assumptions!$C$26*Assumptions!$C$20*Assumptions!$C$28)*(1+Assumptions!$C$7)^(C$12-1)+IF(C$12=$C7,Assumptions!$C$12*$B7*Assumptions!$C$29,0)))</f>
        <v>153611.331964463</v>
      </c>
      <c r="D14" s="19">
        <f>IF(D$12=0,-Assumptions!$C$12*$B7*(1+SUM(Assumptions!$C$13:$C$17)),IF(D$12&gt;$C7,0,(Assumptions!$C$25*Assumptions!$C$26*Assumptions!$C$20-Assumptions!$C$18-Assumptions!$C$19*Assumptions!$C$20*Assumptions!$C$21-Assumptions!$C$12*$B7*Assumptions!$C$22-Assumptions!$C$25*Assumptions!$C$26*Assumptions!$C$20*Assumptions!$C$27-Assumptions!$C$25*Assumptions!$C$26*Assumptions!$C$20*Assumptions!$C$28)*(1+Assumptions!$C$7)^(D$12-1)+IF(D$12=$C7,Assumptions!$C$12*$B7*Assumptions!$C$29,0)))</f>
        <v>158219.67192339699</v>
      </c>
      <c r="E14" s="19">
        <f>IF(E$12=0,-Assumptions!$C$12*$B7*(1+SUM(Assumptions!$C$13:$C$17)),IF(E$12&gt;$C7,0,(Assumptions!$C$25*Assumptions!$C$26*Assumptions!$C$20-Assumptions!$C$18-Assumptions!$C$19*Assumptions!$C$20*Assumptions!$C$21-Assumptions!$C$12*$B7*Assumptions!$C$22-Assumptions!$C$25*Assumptions!$C$26*Assumptions!$C$20*Assumptions!$C$27-Assumptions!$C$25*Assumptions!$C$26*Assumptions!$C$20*Assumptions!$C$28)*(1+Assumptions!$C$7)^(E$12-1)+IF(E$12=$C7,Assumptions!$C$12*$B7*Assumptions!$C$29,0)))</f>
        <v>162966.262081099</v>
      </c>
      <c r="F14" s="19">
        <f>IF(F$12=0,-Assumptions!$C$12*$B7*(1+SUM(Assumptions!$C$13:$C$17)),IF(F$12&gt;$C7,0,(Assumptions!$C$25*Assumptions!$C$26*Assumptions!$C$20-Assumptions!$C$18-Assumptions!$C$19*Assumptions!$C$20*Assumptions!$C$21-Assumptions!$C$12*$B7*Assumptions!$C$22-Assumptions!$C$25*Assumptions!$C$26*Assumptions!$C$20*Assumptions!$C$27-Assumptions!$C$25*Assumptions!$C$26*Assumptions!$C$20*Assumptions!$C$28)*(1+Assumptions!$C$7)^(F$12-1)+IF(F$12=$C7,Assumptions!$C$12*$B7*Assumptions!$C$29,0)))</f>
        <v>167855.24994353199</v>
      </c>
      <c r="G14" s="19">
        <f>IF(G$12=0,-Assumptions!$C$12*$B7*(1+SUM(Assumptions!$C$13:$C$17)),IF(G$12&gt;$C7,0,(Assumptions!$C$25*Assumptions!$C$26*Assumptions!$C$20-Assumptions!$C$18-Assumptions!$C$19*Assumptions!$C$20*Assumptions!$C$21-Assumptions!$C$12*$B7*Assumptions!$C$22-Assumptions!$C$25*Assumptions!$C$26*Assumptions!$C$20*Assumptions!$C$27-Assumptions!$C$25*Assumptions!$C$26*Assumptions!$C$20*Assumptions!$C$28)*(1+Assumptions!$C$7)^(G$12-1)+IF(G$12=$C7,Assumptions!$C$12*$B7*Assumptions!$C$29,0)))</f>
        <v>180390.907441838</v>
      </c>
      <c r="H14" s="49"/>
      <c r="I14" s="49"/>
      <c r="J14" s="49"/>
    </row>
    <row r="15" spans="1:10" ht="15" customHeight="1" x14ac:dyDescent="0.25">
      <c r="A15" s="18" t="str">
        <f>A8</f>
        <v>Useful life reduced to 3 years</v>
      </c>
      <c r="B15" s="19">
        <f>IF(B$12=0,-Assumptions!$C$12*$B8*(1+SUM(Assumptions!$C$13:$C$17)),IF(B$12&gt;$C8,0,(Assumptions!$C$25*Assumptions!$C$26*Assumptions!$C$20-Assumptions!$C$18-Assumptions!$C$19*Assumptions!$C$20*Assumptions!$C$21-Assumptions!$C$12*$B8*Assumptions!$C$22-Assumptions!$C$25*Assumptions!$C$26*Assumptions!$C$20*Assumptions!$C$27-Assumptions!$C$25*Assumptions!$C$26*Assumptions!$C$20*Assumptions!$C$28)*(1+Assumptions!$C$7)^(B$12-1)+IF(B$12=$C8,Assumptions!$C$12*$B8*Assumptions!$C$29,0)))</f>
        <v>-98125</v>
      </c>
      <c r="C15" s="19">
        <f>IF(C$12=0,-Assumptions!$C$12*$B8*(1+SUM(Assumptions!$C$13:$C$17)),IF(C$12&gt;$C8,0,(Assumptions!$C$25*Assumptions!$C$26*Assumptions!$C$20-Assumptions!$C$18-Assumptions!$C$19*Assumptions!$C$20*Assumptions!$C$21-Assumptions!$C$12*$B8*Assumptions!$C$22-Assumptions!$C$25*Assumptions!$C$26*Assumptions!$C$20*Assumptions!$C$27-Assumptions!$C$25*Assumptions!$C$26*Assumptions!$C$20*Assumptions!$C$28)*(1+Assumptions!$C$7)^(C$12-1)+IF(C$12=$C8,Assumptions!$C$12*$B8*Assumptions!$C$29,0)))</f>
        <v>154236.331964463</v>
      </c>
      <c r="D15" s="19">
        <f>IF(D$12=0,-Assumptions!$C$12*$B8*(1+SUM(Assumptions!$C$13:$C$17)),IF(D$12&gt;$C8,0,(Assumptions!$C$25*Assumptions!$C$26*Assumptions!$C$20-Assumptions!$C$18-Assumptions!$C$19*Assumptions!$C$20*Assumptions!$C$21-Assumptions!$C$12*$B8*Assumptions!$C$22-Assumptions!$C$25*Assumptions!$C$26*Assumptions!$C$20*Assumptions!$C$27-Assumptions!$C$25*Assumptions!$C$26*Assumptions!$C$20*Assumptions!$C$28)*(1+Assumptions!$C$7)^(D$12-1)+IF(D$12=$C8,Assumptions!$C$12*$B8*Assumptions!$C$29,0)))</f>
        <v>158863.42192339699</v>
      </c>
      <c r="E15" s="19">
        <f>IF(E$12=0,-Assumptions!$C$12*$B8*(1+SUM(Assumptions!$C$13:$C$17)),IF(E$12&gt;$C8,0,(Assumptions!$C$25*Assumptions!$C$26*Assumptions!$C$20-Assumptions!$C$18-Assumptions!$C$19*Assumptions!$C$20*Assumptions!$C$21-Assumptions!$C$12*$B8*Assumptions!$C$22-Assumptions!$C$25*Assumptions!$C$26*Assumptions!$C$20*Assumptions!$C$27-Assumptions!$C$25*Assumptions!$C$26*Assumptions!$C$20*Assumptions!$C$28)*(1+Assumptions!$C$7)^(E$12-1)+IF(E$12=$C8,Assumptions!$C$12*$B8*Assumptions!$C$29,0)))</f>
        <v>169879.324581099</v>
      </c>
      <c r="F15" s="19">
        <f>IF(F$12=0,-Assumptions!$C$12*$B8*(1+SUM(Assumptions!$C$13:$C$17)),IF(F$12&gt;$C8,0,(Assumptions!$C$25*Assumptions!$C$26*Assumptions!$C$20-Assumptions!$C$18-Assumptions!$C$19*Assumptions!$C$20*Assumptions!$C$21-Assumptions!$C$12*$B8*Assumptions!$C$22-Assumptions!$C$25*Assumptions!$C$26*Assumptions!$C$20*Assumptions!$C$27-Assumptions!$C$25*Assumptions!$C$26*Assumptions!$C$20*Assumptions!$C$28)*(1+Assumptions!$C$7)^(F$12-1)+IF(F$12=$C8,Assumptions!$C$12*$B8*Assumptions!$C$29,0)))</f>
        <v>0</v>
      </c>
      <c r="G15" s="19">
        <f>IF(G$12=0,-Assumptions!$C$12*$B8*(1+SUM(Assumptions!$C$13:$C$17)),IF(G$12&gt;$C8,0,(Assumptions!$C$25*Assumptions!$C$26*Assumptions!$C$20-Assumptions!$C$18-Assumptions!$C$19*Assumptions!$C$20*Assumptions!$C$21-Assumptions!$C$12*$B8*Assumptions!$C$22-Assumptions!$C$25*Assumptions!$C$26*Assumptions!$C$20*Assumptions!$C$27-Assumptions!$C$25*Assumptions!$C$26*Assumptions!$C$20*Assumptions!$C$28)*(1+Assumptions!$C$7)^(G$12-1)+IF(G$12=$C8,Assumptions!$C$12*$B8*Assumptions!$C$29,0)))</f>
        <v>0</v>
      </c>
      <c r="H15" s="49"/>
      <c r="I15" s="49"/>
      <c r="J15" s="49"/>
    </row>
    <row r="16" spans="1:10" ht="13.8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</row>
    <row r="17" spans="1:10" ht="13.8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</row>
    <row r="18" spans="1:10" ht="15" customHeight="1" x14ac:dyDescent="0.25">
      <c r="A18" s="16" t="s">
        <v>28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15" customHeight="1" x14ac:dyDescent="0.25">
      <c r="A19" s="18" t="s">
        <v>29</v>
      </c>
      <c r="B19" s="53" t="str">
        <f>IF(ABS(F7)&gt;=ABS(F8),A7,A8)</f>
        <v>Useful life reduced to 3 years</v>
      </c>
      <c r="C19" s="53"/>
      <c r="D19" s="53"/>
      <c r="E19" s="53"/>
      <c r="F19" s="53"/>
      <c r="G19" s="53"/>
      <c r="H19" s="53"/>
      <c r="I19" s="53"/>
      <c r="J19" s="53"/>
    </row>
    <row r="20" spans="1:10" ht="15" customHeight="1" x14ac:dyDescent="0.25">
      <c r="A20" s="18" t="s">
        <v>150</v>
      </c>
      <c r="B20" s="57">
        <f>MAX(ABS(F7),ABS(F8))</f>
        <v>243863.84674142601</v>
      </c>
      <c r="C20" s="57"/>
      <c r="D20" s="57"/>
      <c r="E20" s="57"/>
      <c r="F20" s="57"/>
      <c r="G20" s="57"/>
      <c r="H20" s="57"/>
      <c r="I20" s="57"/>
      <c r="J20" s="57"/>
    </row>
    <row r="21" spans="1:10" ht="15" customHeight="1" x14ac:dyDescent="0.25">
      <c r="A21" s="18" t="s">
        <v>5</v>
      </c>
      <c r="B21" s="53" t="s">
        <v>151</v>
      </c>
      <c r="C21" s="53"/>
      <c r="D21" s="53"/>
      <c r="E21" s="53"/>
      <c r="F21" s="53"/>
      <c r="G21" s="53"/>
      <c r="H21" s="53"/>
      <c r="I21" s="53"/>
      <c r="J21" s="53"/>
    </row>
  </sheetData>
  <mergeCells count="7">
    <mergeCell ref="B20:J20"/>
    <mergeCell ref="B21:J21"/>
    <mergeCell ref="A1:J1"/>
    <mergeCell ref="A4:J4"/>
    <mergeCell ref="A11:G11"/>
    <mergeCell ref="A18:J18"/>
    <mergeCell ref="B19:J19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activeCell="C22" sqref="C22"/>
    </sheetView>
  </sheetViews>
  <sheetFormatPr defaultColWidth="8.6640625" defaultRowHeight="13.2" x14ac:dyDescent="0.25"/>
  <cols>
    <col min="1" max="1" width="41" customWidth="1"/>
    <col min="2" max="4" width="18" customWidth="1"/>
    <col min="5" max="6" width="14" customWidth="1"/>
    <col min="7" max="7" width="52" customWidth="1"/>
  </cols>
  <sheetData>
    <row r="1" spans="1:7" ht="13.8" x14ac:dyDescent="0.25">
      <c r="A1" s="26" t="s">
        <v>152</v>
      </c>
      <c r="B1" s="26"/>
      <c r="C1" s="26"/>
      <c r="D1" s="26"/>
      <c r="E1" s="26"/>
      <c r="F1" s="26"/>
      <c r="G1" s="26"/>
    </row>
    <row r="2" spans="1:7" ht="13.8" x14ac:dyDescent="0.25">
      <c r="A2" s="49"/>
      <c r="B2" s="49"/>
      <c r="C2" s="49"/>
      <c r="D2" s="49"/>
      <c r="E2" s="49"/>
      <c r="F2" s="49"/>
      <c r="G2" s="49"/>
    </row>
    <row r="3" spans="1:7" ht="13.8" x14ac:dyDescent="0.25">
      <c r="A3" s="49"/>
      <c r="B3" s="49"/>
      <c r="C3" s="49"/>
      <c r="D3" s="49"/>
      <c r="E3" s="49"/>
      <c r="F3" s="49"/>
      <c r="G3" s="49"/>
    </row>
    <row r="4" spans="1:7" ht="13.8" x14ac:dyDescent="0.25">
      <c r="A4" s="49"/>
      <c r="B4" s="49"/>
      <c r="C4" s="49"/>
      <c r="D4" s="49"/>
      <c r="E4" s="49"/>
      <c r="F4" s="49"/>
      <c r="G4" s="49"/>
    </row>
    <row r="5" spans="1:7" ht="15" customHeight="1" x14ac:dyDescent="0.25">
      <c r="A5" s="17" t="s">
        <v>153</v>
      </c>
      <c r="B5" s="17" t="s">
        <v>154</v>
      </c>
      <c r="C5" s="17" t="s">
        <v>155</v>
      </c>
      <c r="D5" s="17" t="s">
        <v>156</v>
      </c>
      <c r="E5" s="17" t="s">
        <v>157</v>
      </c>
      <c r="F5" s="17" t="s">
        <v>158</v>
      </c>
      <c r="G5" s="17" t="s">
        <v>159</v>
      </c>
    </row>
    <row r="6" spans="1:7" ht="15" customHeight="1" x14ac:dyDescent="0.25">
      <c r="A6" s="18" t="s">
        <v>160</v>
      </c>
      <c r="B6" s="58">
        <f>ABS('Cash Flow'!B12)</f>
        <v>98125</v>
      </c>
      <c r="C6" s="58">
        <f>Assumptions!C31</f>
        <v>98125</v>
      </c>
      <c r="D6" s="58">
        <f>B6-C6</f>
        <v>0</v>
      </c>
      <c r="E6" s="59">
        <v>0.01</v>
      </c>
      <c r="F6" s="18" t="str">
        <f>IF(ABS(D6)&lt;=E6,"PASS","FAIL")</f>
        <v>PASS</v>
      </c>
      <c r="G6" s="18" t="s">
        <v>161</v>
      </c>
    </row>
    <row r="7" spans="1:7" ht="13.8" x14ac:dyDescent="0.25">
      <c r="A7" s="18" t="s">
        <v>162</v>
      </c>
      <c r="B7" s="60">
        <f>Assumptions!C10</f>
        <v>7.7499999999999999E-2</v>
      </c>
      <c r="C7" s="60">
        <f>Assumptions!C8+Assumptions!C9</f>
        <v>7.7499999999999999E-2</v>
      </c>
      <c r="D7" s="60">
        <f>B7-C7</f>
        <v>0</v>
      </c>
      <c r="E7" s="60">
        <v>9.9999999999999995E-7</v>
      </c>
      <c r="F7" s="18" t="str">
        <f>IF(ABS(D7)&lt;=E7,"PASS","FAIL")</f>
        <v>PASS</v>
      </c>
      <c r="G7" s="18" t="s">
        <v>163</v>
      </c>
    </row>
    <row r="8" spans="1:7" ht="27.6" x14ac:dyDescent="0.25">
      <c r="A8" s="18" t="s">
        <v>164</v>
      </c>
      <c r="B8" s="58">
        <f>'Cash Flow'!B29</f>
        <v>561510.67887105595</v>
      </c>
      <c r="C8" s="58">
        <f>SUM('Cash Flow'!B24:G24)</f>
        <v>561510.67887105595</v>
      </c>
      <c r="D8" s="58">
        <f>B8-C8</f>
        <v>0</v>
      </c>
      <c r="E8" s="59">
        <v>0.01</v>
      </c>
      <c r="F8" s="18" t="str">
        <f>IF(ABS(D8)&lt;=E8,"PASS","FAIL")</f>
        <v>PASS</v>
      </c>
      <c r="G8" s="18" t="s">
        <v>165</v>
      </c>
    </row>
    <row r="9" spans="1:7" ht="27.6" x14ac:dyDescent="0.25">
      <c r="A9" s="18" t="s">
        <v>166</v>
      </c>
      <c r="B9" s="18" t="str">
        <f>COUNTIF('Cash Flow'!B22:G22,"&lt;0")&amp;"/"&amp;COUNTIF('Cash Flow'!B22:G22,"&gt;0")</f>
        <v>1/5</v>
      </c>
      <c r="C9" s="18" t="str">
        <f>"1/"&amp;Assumptions!$C$6</f>
        <v>1/5</v>
      </c>
      <c r="D9" s="18"/>
      <c r="E9" s="18"/>
      <c r="F9" s="18" t="str">
        <f>IF(B9=C9,"PASS","FAIL")</f>
        <v>PASS</v>
      </c>
      <c r="G9" s="18" t="s">
        <v>167</v>
      </c>
    </row>
    <row r="10" spans="1:7" ht="13.8" x14ac:dyDescent="0.25">
      <c r="A10" s="18" t="s">
        <v>168</v>
      </c>
      <c r="B10" s="58">
        <f>SUM('Cash Flow'!B22:G22)</f>
        <v>726986.63323557901</v>
      </c>
      <c r="C10" s="58">
        <f>Assumptions!C30</f>
        <v>726986.63323557703</v>
      </c>
      <c r="D10" s="58">
        <f>B10-C10</f>
        <v>2.09547579288483E-9</v>
      </c>
      <c r="E10" s="59">
        <v>0.01</v>
      </c>
      <c r="F10" s="18" t="str">
        <f>IF(Assumptions!$C$6&lt;&gt;5,"N/A",IF(ABS(D10)&lt;=E10,"PASS","FAIL"))</f>
        <v>PASS</v>
      </c>
      <c r="G10" s="18" t="s">
        <v>169</v>
      </c>
    </row>
    <row r="11" spans="1:7" ht="15" customHeight="1" x14ac:dyDescent="0.25">
      <c r="A11" s="18" t="s">
        <v>170</v>
      </c>
      <c r="B11" s="58">
        <f>ABS(Sensitivity!F15)+ABS(Sensitivity!G15)</f>
        <v>0</v>
      </c>
      <c r="C11" s="58">
        <v>0</v>
      </c>
      <c r="D11" s="58">
        <f>B11-C11</f>
        <v>0</v>
      </c>
      <c r="E11" s="59">
        <v>0.01</v>
      </c>
      <c r="F11" s="18" t="str">
        <f>IF(ABS(D11)&lt;=E11,"PASS","FAIL")</f>
        <v>PASS</v>
      </c>
      <c r="G11" s="18" t="s">
        <v>171</v>
      </c>
    </row>
    <row r="12" spans="1:7" ht="13.8" x14ac:dyDescent="0.25">
      <c r="A12" s="18" t="s">
        <v>172</v>
      </c>
      <c r="B12" s="18">
        <f>COUNTIF(Sensitivity!E6:E8,"&gt;0")</f>
        <v>3</v>
      </c>
      <c r="C12" s="18">
        <v>3</v>
      </c>
      <c r="D12" s="18">
        <f>B12-C12</f>
        <v>0</v>
      </c>
      <c r="E12" s="18">
        <v>0</v>
      </c>
      <c r="F12" s="18" t="str">
        <f>IF(D12=0,"PASS","FAIL")</f>
        <v>PASS</v>
      </c>
      <c r="G12" s="18" t="s">
        <v>173</v>
      </c>
    </row>
    <row r="13" spans="1:7" ht="27.6" x14ac:dyDescent="0.25">
      <c r="A13" s="18" t="s">
        <v>174</v>
      </c>
      <c r="B13" s="18">
        <f>ABS(Sensitivity!B13-'Cash Flow'!B22)+ABS(Sensitivity!C13-'Cash Flow'!C22)+ABS(Sensitivity!D13-'Cash Flow'!D22)+ABS(Sensitivity!E13-'Cash Flow'!E22)+ABS(Sensitivity!F13-'Cash Flow'!F22)+ABS(Sensitivity!G13-'Cash Flow'!G22)</f>
        <v>0</v>
      </c>
      <c r="C13" s="18">
        <v>0</v>
      </c>
      <c r="D13" s="18">
        <f>B13-C13</f>
        <v>0</v>
      </c>
      <c r="E13" s="18">
        <v>0.01</v>
      </c>
      <c r="F13" s="18" t="str">
        <f>IF(ABS(D13)&lt;=E13,"PASS","FAIL")</f>
        <v>PASS</v>
      </c>
      <c r="G13" s="18" t="s">
        <v>175</v>
      </c>
    </row>
    <row r="14" spans="1:7" ht="13.8" x14ac:dyDescent="0.25">
      <c r="A14" s="49"/>
      <c r="B14" s="49"/>
      <c r="C14" s="49"/>
      <c r="D14" s="49"/>
      <c r="E14" s="49"/>
      <c r="F14" s="49"/>
      <c r="G14" s="49"/>
    </row>
    <row r="15" spans="1:7" ht="15" customHeight="1" x14ac:dyDescent="0.25">
      <c r="A15" s="16" t="s">
        <v>176</v>
      </c>
      <c r="B15" s="16"/>
      <c r="C15" s="16"/>
      <c r="D15" s="16"/>
      <c r="E15" s="16"/>
      <c r="F15" s="61" t="str">
        <f>IF(COUNTIF(F6:F13,"FAIL")=0,"PASS","FAIL")</f>
        <v>PASS</v>
      </c>
      <c r="G15" s="61"/>
    </row>
  </sheetData>
  <mergeCells count="3">
    <mergeCell ref="A1:G1"/>
    <mergeCell ref="A15:E15"/>
    <mergeCell ref="F15:G15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tabSelected="1" workbookViewId="0">
      <selection activeCell="D26" sqref="D26"/>
    </sheetView>
  </sheetViews>
  <sheetFormatPr defaultColWidth="8.6640625" defaultRowHeight="13.2" x14ac:dyDescent="0.25"/>
  <cols>
    <col min="1" max="1" width="12" customWidth="1"/>
    <col min="2" max="2" width="33" customWidth="1"/>
    <col min="3" max="3" width="31" customWidth="1"/>
    <col min="4" max="4" width="22" customWidth="1"/>
    <col min="5" max="5" width="39" customWidth="1"/>
    <col min="6" max="6" width="72" customWidth="1"/>
    <col min="7" max="7" width="52" customWidth="1"/>
  </cols>
  <sheetData>
    <row r="1" spans="1:7" ht="13.8" x14ac:dyDescent="0.25">
      <c r="A1" s="26" t="s">
        <v>177</v>
      </c>
      <c r="B1" s="26"/>
      <c r="C1" s="26"/>
      <c r="D1" s="26"/>
      <c r="E1" s="26"/>
      <c r="F1" s="26"/>
      <c r="G1" s="26"/>
    </row>
    <row r="2" spans="1:7" ht="13.8" x14ac:dyDescent="0.25">
      <c r="A2" s="49"/>
      <c r="B2" s="49"/>
      <c r="C2" s="49"/>
      <c r="D2" s="49"/>
      <c r="E2" s="49"/>
      <c r="F2" s="49"/>
      <c r="G2" s="49"/>
    </row>
    <row r="3" spans="1:7" ht="13.8" x14ac:dyDescent="0.25">
      <c r="A3" s="49"/>
      <c r="B3" s="49"/>
      <c r="C3" s="49"/>
      <c r="D3" s="49"/>
      <c r="E3" s="49"/>
      <c r="F3" s="49"/>
      <c r="G3" s="49"/>
    </row>
    <row r="4" spans="1:7" ht="13.8" x14ac:dyDescent="0.25">
      <c r="A4" s="49"/>
      <c r="B4" s="49"/>
      <c r="C4" s="49"/>
      <c r="D4" s="49"/>
      <c r="E4" s="49"/>
      <c r="F4" s="49"/>
      <c r="G4" s="49"/>
    </row>
    <row r="5" spans="1:7" ht="13.8" x14ac:dyDescent="0.25">
      <c r="A5" s="17" t="s">
        <v>37</v>
      </c>
      <c r="B5" s="17" t="s">
        <v>178</v>
      </c>
      <c r="C5" s="17" t="s">
        <v>179</v>
      </c>
      <c r="D5" s="17" t="s">
        <v>180</v>
      </c>
      <c r="E5" s="17" t="s">
        <v>181</v>
      </c>
      <c r="F5" s="17" t="s">
        <v>182</v>
      </c>
      <c r="G5" s="17" t="s">
        <v>159</v>
      </c>
    </row>
    <row r="6" spans="1:7" ht="26.25" customHeight="1" x14ac:dyDescent="0.25">
      <c r="A6" s="18" t="s">
        <v>48</v>
      </c>
      <c r="B6" s="18" t="s">
        <v>183</v>
      </c>
      <c r="C6" s="18" t="s">
        <v>184</v>
      </c>
      <c r="D6" s="18" t="s">
        <v>185</v>
      </c>
      <c r="E6" s="18" t="s">
        <v>186</v>
      </c>
      <c r="F6" s="18"/>
      <c r="G6" s="18" t="s">
        <v>187</v>
      </c>
    </row>
    <row r="7" spans="1:7" ht="27.6" x14ac:dyDescent="0.25">
      <c r="A7" s="18" t="s">
        <v>53</v>
      </c>
      <c r="B7" s="18" t="s">
        <v>50</v>
      </c>
      <c r="C7" s="18" t="s">
        <v>188</v>
      </c>
      <c r="D7" s="18" t="s">
        <v>189</v>
      </c>
      <c r="E7" s="18" t="s">
        <v>190</v>
      </c>
      <c r="F7" s="18" t="s">
        <v>191</v>
      </c>
      <c r="G7" s="18" t="s">
        <v>192</v>
      </c>
    </row>
    <row r="8" spans="1:7" ht="27.6" x14ac:dyDescent="0.25">
      <c r="A8" s="18" t="s">
        <v>93</v>
      </c>
      <c r="B8" s="18" t="s">
        <v>193</v>
      </c>
      <c r="C8" s="18" t="s">
        <v>194</v>
      </c>
      <c r="D8" s="18" t="s">
        <v>195</v>
      </c>
      <c r="E8" s="18" t="s">
        <v>196</v>
      </c>
      <c r="F8" s="18" t="s">
        <v>197</v>
      </c>
      <c r="G8" s="18" t="s">
        <v>198</v>
      </c>
    </row>
    <row r="9" spans="1:7" ht="13.8" x14ac:dyDescent="0.25">
      <c r="A9" s="18" t="s">
        <v>85</v>
      </c>
      <c r="B9" s="18" t="s">
        <v>83</v>
      </c>
      <c r="C9" s="18" t="s">
        <v>199</v>
      </c>
      <c r="D9" s="18" t="s">
        <v>200</v>
      </c>
      <c r="E9" s="18" t="s">
        <v>201</v>
      </c>
      <c r="F9" s="18" t="s">
        <v>202</v>
      </c>
      <c r="G9" s="18" t="s">
        <v>203</v>
      </c>
    </row>
    <row r="10" spans="1:7" ht="27.6" x14ac:dyDescent="0.25">
      <c r="A10" s="18" t="s">
        <v>204</v>
      </c>
      <c r="B10" s="18" t="s">
        <v>205</v>
      </c>
      <c r="C10" s="18" t="s">
        <v>206</v>
      </c>
      <c r="D10" s="18" t="s">
        <v>207</v>
      </c>
      <c r="E10" s="18" t="s">
        <v>208</v>
      </c>
      <c r="F10" s="18" t="s">
        <v>209</v>
      </c>
      <c r="G10" s="18" t="s">
        <v>210</v>
      </c>
    </row>
    <row r="11" spans="1:7" ht="27.6" x14ac:dyDescent="0.25">
      <c r="A11" s="18" t="s">
        <v>43</v>
      </c>
      <c r="B11" s="18" t="s">
        <v>211</v>
      </c>
      <c r="C11" s="18" t="s">
        <v>212</v>
      </c>
      <c r="D11" s="18" t="s">
        <v>213</v>
      </c>
      <c r="E11" s="18" t="s">
        <v>214</v>
      </c>
      <c r="F11" s="18"/>
      <c r="G11" s="18" t="s">
        <v>215</v>
      </c>
    </row>
  </sheetData>
  <mergeCells count="1">
    <mergeCell ref="A1:G1"/>
  </mergeCells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Cash Flow</vt:lpstr>
      <vt:lpstr>Sensitivity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2026-08-03T13:34:00Z</dcterms:created>
  <dcterms:modified xsi:type="dcterms:W3CDTF">2026-08-03T13:47:08Z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BF37FAB54180414ABADBD17C3A6C5C85_12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